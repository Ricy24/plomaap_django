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trol y Resumen" sheetId="1" state="visible" r:id="rId1"/>
    <sheet name="Pruebas Unitarias" sheetId="2" state="visible" r:id="rId2"/>
    <sheet name="Pruebas Integracion" sheetId="3" state="visible" r:id="rId3"/>
    <sheet name="Pruebas E2E" sheetId="4" state="visible" r:id="rId4"/>
    <sheet name="Guía del Aprendiz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olor theme="1"/>
      <sz val="11"/>
      <scheme val="minor"/>
    </font>
    <font>
      <name val="Calibri"/>
      <b val="1"/>
      <color rgb="FFFFFFFF"/>
      <sz val="13"/>
    </font>
    <font/>
    <font>
      <name val="Calibri"/>
      <b val="1"/>
      <color rgb="FF111827"/>
      <sz val="10"/>
    </font>
    <font>
      <name val="Calibri"/>
      <color rgb="FF1F2937"/>
      <sz val="10"/>
    </font>
    <font>
      <name val="Calibri"/>
      <i val="1"/>
      <color rgb="FF4B5563"/>
      <sz val="9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color rgb="FF374151"/>
      <sz val="9"/>
    </font>
    <font>
      <name val="Calibri"/>
      <b val="1"/>
      <color rgb="FF0B4F26"/>
      <sz val="16"/>
    </font>
    <font>
      <name val="Calibri"/>
      <color theme="1"/>
      <scheme val="minor"/>
    </font>
  </fonts>
  <fills count="7">
    <fill>
      <patternFill/>
    </fill>
    <fill>
      <patternFill patternType="lightGray"/>
    </fill>
    <fill>
      <patternFill patternType="solid">
        <fgColor rgb="FF0B4F26"/>
        <bgColor rgb="FF0B4F26"/>
      </patternFill>
    </fill>
    <fill>
      <patternFill patternType="solid">
        <fgColor rgb="FFF3F4F6"/>
        <bgColor rgb="FFF3F4F6"/>
      </patternFill>
    </fill>
    <fill>
      <patternFill patternType="solid">
        <fgColor rgb="FFECFDF5"/>
        <bgColor rgb="FFECFDF5"/>
      </patternFill>
    </fill>
    <fill>
      <patternFill patternType="solid">
        <fgColor rgb="FF374151"/>
        <bgColor rgb="FF374151"/>
      </patternFill>
    </fill>
    <fill>
      <patternFill patternType="solid">
        <fgColor rgb="FFF9FAFB"/>
        <bgColor rgb="FFF9FAFB"/>
      </patternFill>
    </fill>
  </fills>
  <borders count="22">
    <border/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D1D5DB"/>
      </left>
      <top style="thin">
        <color rgb="FFD1D5DB"/>
      </top>
    </border>
    <border>
      <right style="thin">
        <color rgb="FFD1D5DB"/>
      </right>
      <top style="thin">
        <color rgb="FFD1D5DB"/>
      </top>
    </border>
    <border>
      <left style="thin">
        <color rgb="FFD1D5DB"/>
      </left>
      <bottom style="thin">
        <color rgb="FFD1D5DB"/>
      </bottom>
    </border>
    <border>
      <right style="thin">
        <color rgb="FFD1D5DB"/>
      </right>
      <bottom style="thin">
        <color rgb="FFD1D5DB"/>
      </bottom>
    </border>
    <border>
      <top style="thin">
        <color rgb="FFD1D5DB"/>
      </top>
    </border>
    <border>
      <left/>
      <right/>
      <top/>
      <bottom/>
    </border>
    <border>
      <left style="thin">
        <color rgb="FFD1D5DB"/>
      </left>
    </border>
    <border>
      <right style="thin">
        <color rgb="FFD1D5DB"/>
      </right>
    </border>
  </borders>
  <cellStyleXfs count="1">
    <xf numFmtId="0" fontId="0" fillId="0" borderId="0"/>
  </cellStyleXfs>
  <cellXfs count="6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2" fillId="0" borderId="3" pivotButton="0" quotePrefix="0" xfId="0"/>
    <xf numFmtId="0" fontId="2" fillId="0" borderId="4" pivotButton="0" quotePrefix="0" xfId="0"/>
    <xf numFmtId="0" fontId="2" fillId="0" borderId="5" pivotButton="0" quotePrefix="0" xfId="0"/>
    <xf numFmtId="0" fontId="2" fillId="0" borderId="6" pivotButton="0" quotePrefix="0" xfId="0"/>
    <xf numFmtId="0" fontId="3" fillId="3" borderId="7" applyAlignment="1" pivotButton="0" quotePrefix="0" xfId="0">
      <alignment horizontal="left" vertical="center" wrapText="1"/>
    </xf>
    <xf numFmtId="0" fontId="3" fillId="3" borderId="7" pivotButton="0" quotePrefix="0" xfId="0"/>
    <xf numFmtId="0" fontId="2" fillId="0" borderId="8" pivotButton="0" quotePrefix="0" xfId="0"/>
    <xf numFmtId="0" fontId="3" fillId="0" borderId="7" pivotButton="0" quotePrefix="0" xfId="0"/>
    <xf numFmtId="0" fontId="4" fillId="0" borderId="7" applyAlignment="1" pivotButton="0" quotePrefix="0" xfId="0">
      <alignment horizontal="left" vertical="center" wrapText="1"/>
    </xf>
    <xf numFmtId="0" fontId="2" fillId="0" borderId="9" pivotButton="0" quotePrefix="0" xfId="0"/>
    <xf numFmtId="0" fontId="5" fillId="0" borderId="7" pivotButton="0" quotePrefix="0" xfId="0"/>
    <xf numFmtId="0" fontId="3" fillId="0" borderId="10" applyAlignment="1" pivotButton="0" quotePrefix="0" xfId="0">
      <alignment horizontal="center" vertical="center" wrapText="1"/>
    </xf>
    <xf numFmtId="0" fontId="3" fillId="3" borderId="10" pivotButton="0" quotePrefix="0" xfId="0"/>
    <xf numFmtId="0" fontId="6" fillId="2" borderId="11" applyAlignment="1" pivotButton="0" quotePrefix="0" xfId="0">
      <alignment horizontal="center" vertical="center" wrapText="1"/>
    </xf>
    <xf numFmtId="164" fontId="3" fillId="4" borderId="7" applyAlignment="1" pivotButton="0" quotePrefix="0" xfId="0">
      <alignment horizontal="center" vertical="center" wrapText="1"/>
    </xf>
    <xf numFmtId="0" fontId="2" fillId="0" borderId="12" pivotButton="0" quotePrefix="0" xfId="0"/>
    <xf numFmtId="0" fontId="2" fillId="0" borderId="13" pivotButton="0" quotePrefix="0" xfId="0"/>
    <xf numFmtId="0" fontId="7" fillId="5" borderId="10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center" vertical="center" wrapText="1"/>
    </xf>
    <xf numFmtId="3" fontId="9" fillId="4" borderId="14" applyAlignment="1" pivotButton="0" quotePrefix="0" xfId="0">
      <alignment horizontal="center" vertical="center" wrapText="1"/>
    </xf>
    <xf numFmtId="0" fontId="2" fillId="0" borderId="15" pivotButton="0" quotePrefix="0" xfId="0"/>
    <xf numFmtId="0" fontId="4" fillId="6" borderId="10" applyAlignment="1" pivotButton="0" quotePrefix="0" xfId="0">
      <alignment horizontal="center" vertical="center" wrapText="1"/>
    </xf>
    <xf numFmtId="0" fontId="4" fillId="6" borderId="10" applyAlignment="1" pivotButton="0" quotePrefix="0" xfId="0">
      <alignment horizontal="left" vertical="center" wrapText="1"/>
    </xf>
    <xf numFmtId="164" fontId="9" fillId="4" borderId="14" applyAlignment="1" pivotButton="0" quotePrefix="0" xfId="0">
      <alignment horizontal="center" vertical="center" wrapText="1"/>
    </xf>
    <xf numFmtId="0" fontId="2" fillId="0" borderId="16" pivotButton="0" quotePrefix="0" xfId="0"/>
    <xf numFmtId="0" fontId="2" fillId="0" borderId="17" pivotButton="0" quotePrefix="0" xfId="0"/>
    <xf numFmtId="0" fontId="7" fillId="5" borderId="7" applyAlignment="1" pivotButton="0" quotePrefix="0" xfId="0">
      <alignment horizontal="center" vertical="center" wrapText="1"/>
    </xf>
    <xf numFmtId="0" fontId="4" fillId="0" borderId="10" pivotButton="0" quotePrefix="0" xfId="0"/>
    <xf numFmtId="3" fontId="3" fillId="0" borderId="10" applyAlignment="1" pivotButton="0" quotePrefix="0" xfId="0">
      <alignment horizontal="center" vertical="center" wrapText="1"/>
    </xf>
    <xf numFmtId="3" fontId="4" fillId="0" borderId="10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0" fontId="3" fillId="3" borderId="7" applyAlignment="1" pivotButton="0" quotePrefix="0" xfId="0">
      <alignment horizontal="right" vertical="center"/>
    </xf>
    <xf numFmtId="3" fontId="3" fillId="3" borderId="10" applyAlignment="1" pivotButton="0" quotePrefix="0" xfId="0">
      <alignment horizontal="center" vertical="center" wrapText="1"/>
    </xf>
    <xf numFmtId="0" fontId="10" fillId="0" borderId="0" pivotButton="0" quotePrefix="0" xfId="0"/>
    <xf numFmtId="164" fontId="3" fillId="3" borderId="10" applyAlignment="1" pivotButton="0" quotePrefix="0" xfId="0">
      <alignment horizontal="center" vertical="center" wrapText="1"/>
    </xf>
    <xf numFmtId="0" fontId="3" fillId="3" borderId="10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6" fillId="2" borderId="11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19" applyAlignment="1" pivotButton="0" quotePrefix="0" xfId="0">
      <alignment horizontal="center" vertical="center" wrapText="1"/>
    </xf>
    <xf numFmtId="0" fontId="3" fillId="3" borderId="10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6" fillId="2" borderId="19" applyAlignment="1" pivotButton="0" quotePrefix="0" xfId="0">
      <alignment horizontal="center" vertical="center" wrapText="1"/>
    </xf>
    <xf numFmtId="0" fontId="8" fillId="3" borderId="10" applyAlignment="1" pivotButton="0" quotePrefix="0" xfId="0">
      <alignment horizontal="center" vertical="center" wrapText="1"/>
    </xf>
    <xf numFmtId="3" fontId="9" fillId="4" borderId="10" applyAlignment="1" pivotButton="0" quotePrefix="0" xfId="0">
      <alignment horizontal="center" vertical="center" wrapText="1"/>
    </xf>
    <xf numFmtId="0" fontId="0" fillId="0" borderId="15" pivotButton="0" quotePrefix="0" xfId="0"/>
    <xf numFmtId="164" fontId="9" fillId="4" borderId="10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3" fillId="0" borderId="10" pivotButton="0" quotePrefix="0" xfId="0"/>
    <xf numFmtId="0" fontId="3" fillId="3" borderId="10" applyAlignment="1" pivotButton="0" quotePrefix="0" xfId="0">
      <alignment horizontal="right" vertical="center"/>
    </xf>
    <xf numFmtId="0" fontId="5" fillId="0" borderId="10" pivotButton="0" quotePrefix="0" xfId="0"/>
    <xf numFmtId="164" fontId="3" fillId="4" borderId="10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top" wrapText="1"/>
    </xf>
    <xf numFmtId="0" fontId="4" fillId="0" borderId="10" applyAlignment="1" pivotButton="0" quotePrefix="0" xfId="0">
      <alignment horizontal="left" vertical="top" wrapText="1"/>
    </xf>
    <xf numFmtId="0" fontId="5" fillId="0" borderId="10" applyAlignment="1" pivotButton="0" quotePrefix="0" xfId="0">
      <alignment horizontal="center" vertical="top" wrapText="1"/>
    </xf>
    <xf numFmtId="0" fontId="6" fillId="2" borderId="19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b val="1"/>
        <color rgb="FF166534"/>
      </font>
      <fill>
        <patternFill patternType="solid">
          <fgColor rgb="FFDCFCE7"/>
          <bgColor rgb="FFDCFCE7"/>
        </patternFill>
      </fill>
      <border/>
    </dxf>
    <dxf>
      <font>
        <b val="1"/>
        <color rgb="FF991B1B"/>
      </font>
      <fill>
        <patternFill patternType="solid">
          <fgColor rgb="FFFEE2E2"/>
          <bgColor rgb="FFFEE2E2"/>
        </patternFill>
      </fill>
      <border/>
    </dxf>
    <dxf>
      <font>
        <b val="1"/>
        <color rgb="FF854D0E"/>
      </font>
      <fill>
        <patternFill patternType="solid">
          <fgColor rgb="FFFEF9C3"/>
          <bgColor rgb="FFFEF9C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45" min="1" max="2"/>
    <col width="16" customWidth="1" style="45" min="3" max="8"/>
    <col width="14" customWidth="1" style="45" min="9" max="9"/>
    <col width="18" customWidth="1" style="45" min="10" max="10"/>
    <col width="8.710000000000001" customWidth="1" style="45" min="11" max="26"/>
  </cols>
  <sheetData>
    <row r="1" ht="21.75" customHeight="1" s="45">
      <c r="A1" s="46" t="inlineStr">
        <is>
          <t>SERVICIO NACIONAL DE APRENDIZAJE (SENA) - SIGA / GESTIÓN DE SISTEMAS
PLAN MAESTRO Y MATRIZ INTEGRAL DE PRUEBAS DE SOFTWARE</t>
        </is>
      </c>
    </row>
    <row r="2" ht="21.75" customHeight="1" s="45"/>
    <row r="4" ht="19.5" customHeight="1" s="45">
      <c r="A4" s="47" t="inlineStr">
        <is>
          <t>Programa de Formación:</t>
        </is>
      </c>
      <c r="B4" s="48" t="n"/>
      <c r="C4" s="23" t="inlineStr">
        <is>
          <t>Tecnología en Análisis y Desarrollo de Software (ADSO) - Cód. 228118</t>
        </is>
      </c>
      <c r="D4" s="49" t="n"/>
      <c r="E4" s="48" t="n"/>
      <c r="F4" s="47" t="inlineStr">
        <is>
          <t>Fase / Guía de Aprendizaje:</t>
        </is>
      </c>
      <c r="G4" s="48" t="n"/>
      <c r="H4" s="23" t="inlineStr">
        <is>
          <t>Fase Evaluación / Guía GA9 - Componente Formativo Pruebas</t>
        </is>
      </c>
      <c r="I4" s="49" t="n"/>
      <c r="J4" s="48" t="n"/>
    </row>
    <row r="5" ht="19.5" customHeight="1" s="45">
      <c r="A5" s="47" t="inlineStr">
        <is>
          <t>Nombre del Proyecto de Software:</t>
        </is>
      </c>
      <c r="B5" s="48" t="n"/>
      <c r="C5" s="23" t="inlineStr">
        <is>
          <t>PlomApp - Sistema de gestión de servicios de plomería</t>
        </is>
      </c>
      <c r="D5" s="49" t="n"/>
      <c r="E5" s="48" t="n"/>
      <c r="F5" s="47" t="inlineStr">
        <is>
          <t>Ficha de Caracterización:</t>
        </is>
      </c>
      <c r="G5" s="48" t="n"/>
      <c r="H5" s="23" t="inlineStr">
        <is>
          <t>[Completar ficha SENA]</t>
        </is>
      </c>
      <c r="I5" s="49" t="n"/>
      <c r="J5" s="48" t="n"/>
    </row>
    <row r="6" ht="19.5" customHeight="1" s="45">
      <c r="A6" s="47" t="inlineStr">
        <is>
          <t>Aprendices / Equipo de Pruebas:</t>
        </is>
      </c>
      <c r="B6" s="48" t="n"/>
      <c r="C6" s="23" t="inlineStr">
        <is>
          <t>Andrés - Desarrollo y QA</t>
        </is>
      </c>
      <c r="D6" s="49" t="n"/>
      <c r="E6" s="48" t="n"/>
      <c r="F6" s="47" t="inlineStr">
        <is>
          <t>Instructor Técnico Evaluador:</t>
        </is>
      </c>
      <c r="G6" s="48" t="n"/>
      <c r="H6" s="23" t="inlineStr">
        <is>
          <t>[Completar nombre del instructor]</t>
        </is>
      </c>
      <c r="I6" s="49" t="n"/>
      <c r="J6" s="48" t="n"/>
    </row>
    <row r="7" ht="19.5" customHeight="1" s="45">
      <c r="A7" s="47" t="inlineStr">
        <is>
          <t>Versión del Documento / Fecha:</t>
        </is>
      </c>
      <c r="B7" s="48" t="n"/>
      <c r="C7" s="23" t="inlineStr">
        <is>
          <t>v1.0 - 26/10/2026</t>
        </is>
      </c>
      <c r="D7" s="49" t="n"/>
      <c r="E7" s="48" t="n"/>
      <c r="F7" s="47" t="inlineStr">
        <is>
          <t>Repositorio / Entorno:</t>
        </is>
      </c>
      <c r="G7" s="48" t="n"/>
      <c r="H7" s="23" t="inlineStr">
        <is>
          <t>https://github.com/Ricy24/plomaap_django (rama dev_Andres)</t>
        </is>
      </c>
      <c r="I7" s="49" t="n"/>
      <c r="J7" s="48" t="n"/>
    </row>
    <row r="9" ht="21.75" customHeight="1" s="45">
      <c r="A9" s="50" t="inlineStr">
        <is>
          <t>PANEL DE CONTROL DE CALIDAD - RESUMEN DE EJECUCIÓN GENERAL</t>
        </is>
      </c>
    </row>
    <row r="11" ht="18" customHeight="1" s="45">
      <c r="A11" s="51" t="inlineStr">
        <is>
          <t>TOTAL CASOS PLANEADOS</t>
        </is>
      </c>
      <c r="B11" s="48" t="n"/>
      <c r="C11" s="51" t="inlineStr">
        <is>
          <t>PRUEBAS EXITOSAS</t>
        </is>
      </c>
      <c r="D11" s="48" t="n"/>
      <c r="E11" s="51" t="inlineStr">
        <is>
          <t>PRUEBAS FALLIDAS (DEFECTOS)</t>
        </is>
      </c>
      <c r="F11" s="48" t="n"/>
      <c r="G11" s="51" t="inlineStr">
        <is>
          <t>BLOQUEADAS / PENDIENTES</t>
        </is>
      </c>
      <c r="H11" s="48" t="n"/>
      <c r="I11" s="51" t="inlineStr">
        <is>
          <t>% COBERTURA DE ÉXITO</t>
        </is>
      </c>
      <c r="J11" s="48" t="n"/>
    </row>
    <row r="12" ht="19.5" customHeight="1" s="45">
      <c r="A12" s="52">
        <f>COUNTA('Pruebas Unitarias'!A8:A57) + COUNTA('Pruebas Integracion'!A8:A37) + COUNTA('Pruebas E2E'!A8:A37)</f>
        <v/>
      </c>
      <c r="B12" s="53" t="n"/>
      <c r="C12" s="52">
        <f>COUNTIF('Pruebas Unitarias'!I8:I57,"Exitoso") + COUNTIF('Pruebas Integracion'!I8:I37,"Exitoso") + COUNTIF('Pruebas E2E'!I8:I37,"Exitoso")</f>
        <v/>
      </c>
      <c r="D12" s="53" t="n"/>
      <c r="E12" s="52">
        <f>COUNTIF('Pruebas Unitarias'!I8:I57,"Falló") + COUNTIF('Pruebas Integracion'!I8:I37,"Falló") + COUNTIF('Pruebas E2E'!I8:I37,"Falló")</f>
        <v/>
      </c>
      <c r="F12" s="53" t="n"/>
      <c r="G12" s="52">
        <f>COUNTIF('Pruebas Unitarias'!I8:I57,"Bloqueado") + COUNTIF('Pruebas Unitarias'!I8:I57,"Pendiente") + COUNTIF('Pruebas Integracion'!I8:I37,"Bloqueado") + COUNTIF('Pruebas Integracion'!I8:I37,"Pendiente") + COUNTIF('Pruebas E2E'!I8:I37,"Bloqueado") + COUNTIF('Pruebas E2E'!I8:I37,"Pendiente")</f>
        <v/>
      </c>
      <c r="H12" s="53" t="n"/>
      <c r="I12" s="54">
        <f>IF(A12&gt;0, C12/A12, 0)</f>
        <v/>
      </c>
      <c r="J12" s="53" t="n"/>
    </row>
    <row r="13" ht="19.5" customHeight="1" s="45">
      <c r="A13" s="55" t="n"/>
      <c r="B13" s="56" t="n"/>
      <c r="C13" s="55" t="n"/>
      <c r="D13" s="56" t="n"/>
      <c r="E13" s="55" t="n"/>
      <c r="F13" s="56" t="n"/>
      <c r="G13" s="55" t="n"/>
      <c r="H13" s="56" t="n"/>
      <c r="I13" s="55" t="n"/>
      <c r="J13" s="56" t="n"/>
    </row>
    <row r="15" ht="21.75" customHeight="1" s="45">
      <c r="A15" s="50" t="inlineStr">
        <is>
          <t>DESGLOSE POR NIVEL DE PRUEBA (PIRÁMIDE DE PRUEBAS DE SOFTWARE)</t>
        </is>
      </c>
    </row>
    <row r="16" ht="21.75" customHeight="1" s="45">
      <c r="A16" s="20" t="inlineStr">
        <is>
          <t>Nivel de Prueba</t>
        </is>
      </c>
      <c r="B16" s="48" t="n"/>
      <c r="C16" s="20" t="inlineStr">
        <is>
          <t>Enfoque / Caja</t>
        </is>
      </c>
      <c r="D16" s="20" t="inlineStr">
        <is>
          <t>Hoja Asociada</t>
        </is>
      </c>
      <c r="E16" s="20" t="inlineStr">
        <is>
          <t>Total Casos</t>
        </is>
      </c>
      <c r="F16" s="20" t="inlineStr">
        <is>
          <t>Exitosas</t>
        </is>
      </c>
      <c r="G16" s="20" t="inlineStr">
        <is>
          <t>Fallidas</t>
        </is>
      </c>
      <c r="H16" s="20" t="inlineStr">
        <is>
          <t>Pendientes</t>
        </is>
      </c>
      <c r="I16" s="20" t="inlineStr">
        <is>
          <t>% Éxito</t>
        </is>
      </c>
      <c r="J16" s="20" t="inlineStr">
        <is>
          <t>Herramientas Sugeridas</t>
        </is>
      </c>
    </row>
    <row r="17" ht="19.5" customHeight="1" s="45">
      <c r="A17" s="57" t="inlineStr">
        <is>
          <t>Pruebas Unitarias</t>
        </is>
      </c>
      <c r="B17" s="48" t="n"/>
      <c r="C17" s="33" t="inlineStr">
        <is>
          <t>Caja Blanca / Lógica interna</t>
        </is>
      </c>
      <c r="D17" s="22" t="inlineStr">
        <is>
          <t>Pruebas Unitarias</t>
        </is>
      </c>
      <c r="E17" s="34">
        <f>COUNTA('Pruebas Unitarias'!A8:A57)</f>
        <v/>
      </c>
      <c r="F17" s="35">
        <f>COUNTIF('Pruebas Unitarias'!I8:I57,"Exitoso")</f>
        <v/>
      </c>
      <c r="G17" s="35">
        <f>COUNTIF('Pruebas Unitarias'!I8:I57,"Falló")</f>
        <v/>
      </c>
      <c r="H17" s="35">
        <f>COUNTIF('Pruebas Unitarias'!I8:I57,"Pendiente") + COUNTIF('Pruebas Unitarias'!I8:I57,"Bloqueado")</f>
        <v/>
      </c>
      <c r="I17" s="36">
        <f>IF(E17&gt;0, F17/E17, 0)</f>
        <v/>
      </c>
      <c r="J17" s="37" t="inlineStr">
        <is>
          <t>PyTest, Jest, JUnit, PHPUnit, Vitest</t>
        </is>
      </c>
    </row>
    <row r="18" ht="19.5" customHeight="1" s="45">
      <c r="A18" s="57" t="inlineStr">
        <is>
          <t>Pruebas de Integración</t>
        </is>
      </c>
      <c r="B18" s="48" t="n"/>
      <c r="C18" s="33" t="inlineStr">
        <is>
          <t>Caja Gris / Servicios y BD</t>
        </is>
      </c>
      <c r="D18" s="22" t="inlineStr">
        <is>
          <t>Pruebas Integracion</t>
        </is>
      </c>
      <c r="E18" s="34">
        <f>COUNTA('Pruebas Integracion'!A8:A37)</f>
        <v/>
      </c>
      <c r="F18" s="35">
        <f>COUNTIF('Pruebas Integracion'!I8:I37,"Exitoso")</f>
        <v/>
      </c>
      <c r="G18" s="35">
        <f>COUNTIF('Pruebas Integracion'!I8:I37,"Falló")</f>
        <v/>
      </c>
      <c r="H18" s="35">
        <f>COUNTIF('Pruebas Integracion'!I8:I37,"Pendiente") + COUNTIF('Pruebas Integracion'!I8:I37,"Bloqueado")</f>
        <v/>
      </c>
      <c r="I18" s="36">
        <f>IF(E18&gt;0, F18/E18, 0)</f>
        <v/>
      </c>
      <c r="J18" s="37" t="inlineStr">
        <is>
          <t>Supertest, Postman/Newman, REST Assured, Testcontainers</t>
        </is>
      </c>
    </row>
    <row r="19" ht="19.5" customHeight="1" s="45">
      <c r="A19" s="57" t="inlineStr">
        <is>
          <t>Pruebas End-to-End (E2E)</t>
        </is>
      </c>
      <c r="B19" s="48" t="n"/>
      <c r="C19" s="33" t="inlineStr">
        <is>
          <t>Caja Negra / Flujo Usuario Final</t>
        </is>
      </c>
      <c r="D19" s="22" t="inlineStr">
        <is>
          <t>Pruebas E2E</t>
        </is>
      </c>
      <c r="E19" s="34">
        <f>COUNTA('Pruebas E2E'!A8:A37)</f>
        <v/>
      </c>
      <c r="F19" s="35">
        <f>COUNTIF('Pruebas E2E'!I8:I37,"Exitoso")</f>
        <v/>
      </c>
      <c r="G19" s="35">
        <f>COUNTIF('Pruebas E2E'!I8:I37,"Falló")</f>
        <v/>
      </c>
      <c r="H19" s="35">
        <f>COUNTIF('Pruebas E2E'!I8:I37,"Pendiente") + COUNTIF('Pruebas E2E'!I8:I37,"Bloqueado")</f>
        <v/>
      </c>
      <c r="I19" s="36">
        <f>IF(E19&gt;0, F19/E19, 0)</f>
        <v/>
      </c>
      <c r="J19" s="37" t="inlineStr">
        <is>
          <t>Cypress, Playwright, Selenium, Robot Framework</t>
        </is>
      </c>
    </row>
    <row r="20" ht="21.75" customHeight="1" s="45">
      <c r="A20" s="58" t="inlineStr">
        <is>
          <t>TOTALES DEL PROYECTO</t>
        </is>
      </c>
      <c r="B20" s="49" t="n"/>
      <c r="C20" s="49" t="n"/>
      <c r="D20" s="48" t="n"/>
      <c r="E20" s="39">
        <f>SUM(E17:E19)</f>
        <v/>
      </c>
      <c r="F20" s="39">
        <f>SUM(F17:F19)</f>
        <v/>
      </c>
      <c r="G20" s="39">
        <f>SUM(G17:G19)</f>
        <v/>
      </c>
      <c r="H20" s="39">
        <f>SUM(H17:H19)</f>
        <v/>
      </c>
      <c r="I20" s="41">
        <f>IF(E20&gt;0, F20/E20, 0)</f>
        <v/>
      </c>
      <c r="J20" s="42" t="inlineStr">
        <is>
          <t>Cumplimiento meta de calidad</t>
        </is>
      </c>
    </row>
    <row r="21" ht="15.75" customHeight="1" s="45"/>
    <row r="22" ht="19.5" customHeight="1" s="45">
      <c r="A22" s="50" t="inlineStr">
        <is>
          <t>HISTORIAL DE CONTROL DE CAMBIOS DEL DOCUMENTO</t>
        </is>
      </c>
    </row>
    <row r="23" ht="19.5" customHeight="1" s="45">
      <c r="A23" s="20" t="inlineStr">
        <is>
          <t>Versión</t>
        </is>
      </c>
      <c r="B23" s="20" t="inlineStr">
        <is>
          <t>Descripción / Motivo del Cambio</t>
        </is>
      </c>
      <c r="C23" s="49" t="n"/>
      <c r="D23" s="49" t="n"/>
      <c r="E23" s="48" t="n"/>
      <c r="F23" s="20" t="inlineStr">
        <is>
          <t>Responsable / Rol</t>
        </is>
      </c>
      <c r="G23" s="49" t="n"/>
      <c r="H23" s="48" t="n"/>
      <c r="I23" s="20" t="inlineStr">
        <is>
          <t>Fecha (DD/MM/AAAA)</t>
        </is>
      </c>
      <c r="J23" s="48" t="n"/>
    </row>
    <row r="24" ht="19.5" customHeight="1" s="45">
      <c r="A24" s="22" t="inlineStr">
        <is>
          <t>1.0</t>
        </is>
      </c>
      <c r="B24" s="23" t="inlineStr">
        <is>
          <t>Creación del plan maestro y matriz de pruebas del proyecto PlomApp</t>
        </is>
      </c>
      <c r="C24" s="49" t="n"/>
      <c r="D24" s="49" t="n"/>
      <c r="E24" s="48" t="n"/>
      <c r="F24" s="23" t="inlineStr">
        <is>
          <t>Andrés / Desarrollo</t>
        </is>
      </c>
      <c r="G24" s="49" t="n"/>
      <c r="H24" s="48" t="n"/>
      <c r="I24" s="22" t="inlineStr">
        <is>
          <t>26/10/2026</t>
        </is>
      </c>
      <c r="J24" s="48" t="n"/>
    </row>
    <row r="25" ht="19.5" customHeight="1" s="45">
      <c r="A25" s="22" t="n"/>
      <c r="B25" s="23" t="n"/>
      <c r="C25" s="49" t="n"/>
      <c r="D25" s="49" t="n"/>
      <c r="E25" s="48" t="n"/>
      <c r="F25" s="23" t="n"/>
      <c r="G25" s="49" t="n"/>
      <c r="H25" s="48" t="n"/>
      <c r="I25" s="22" t="n"/>
      <c r="J25" s="48" t="n"/>
    </row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44">
    <mergeCell ref="F4:G4"/>
    <mergeCell ref="A12:B13"/>
    <mergeCell ref="A1:J2"/>
    <mergeCell ref="C12:D13"/>
    <mergeCell ref="I12:J13"/>
    <mergeCell ref="A22:J22"/>
    <mergeCell ref="A11:B11"/>
    <mergeCell ref="G11:H11"/>
    <mergeCell ref="A20:D20"/>
    <mergeCell ref="I11:J11"/>
    <mergeCell ref="F6:G6"/>
    <mergeCell ref="B24:E24"/>
    <mergeCell ref="A6:B6"/>
    <mergeCell ref="H7:J7"/>
    <mergeCell ref="F7:G7"/>
    <mergeCell ref="F23:H23"/>
    <mergeCell ref="A16:B16"/>
    <mergeCell ref="A7:B7"/>
    <mergeCell ref="A9:J9"/>
    <mergeCell ref="I25:J25"/>
    <mergeCell ref="F5:G5"/>
    <mergeCell ref="A15:J15"/>
    <mergeCell ref="B25:E25"/>
    <mergeCell ref="C7:E7"/>
    <mergeCell ref="A18:B18"/>
    <mergeCell ref="E12:F13"/>
    <mergeCell ref="G12:H13"/>
    <mergeCell ref="C11:D11"/>
    <mergeCell ref="H5:J5"/>
    <mergeCell ref="I24:J24"/>
    <mergeCell ref="E11:F11"/>
    <mergeCell ref="A5:B5"/>
    <mergeCell ref="I23:J23"/>
    <mergeCell ref="A17:B17"/>
    <mergeCell ref="C6:E6"/>
    <mergeCell ref="F25:H25"/>
    <mergeCell ref="A4:B4"/>
    <mergeCell ref="B23:E23"/>
    <mergeCell ref="C5:E5"/>
    <mergeCell ref="A19:B19"/>
    <mergeCell ref="H4:J4"/>
    <mergeCell ref="C4:E4"/>
    <mergeCell ref="F24:H24"/>
    <mergeCell ref="H6:J6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12" customWidth="1" style="45" min="1" max="1"/>
    <col width="34" customWidth="1" style="45" min="2" max="2"/>
    <col width="32" customWidth="1" style="45" min="3" max="3"/>
    <col width="36" customWidth="1" style="45" min="4" max="4"/>
    <col width="40" customWidth="1" style="45" min="5" max="7"/>
    <col width="40" customWidth="1" style="45" min="6" max="6"/>
    <col width="36" customWidth="1" style="45" min="7" max="7"/>
    <col width="24" customWidth="1" style="45" min="8" max="8"/>
    <col width="12" customWidth="1" style="45" min="9" max="10"/>
    <col width="11" customWidth="1" style="45" min="10" max="10"/>
    <col width="36" customWidth="1" style="45" min="11" max="11"/>
    <col width="34" customWidth="1" style="45" min="12" max="12"/>
    <col width="8.710000000000001" customWidth="1" style="45" min="13" max="26"/>
  </cols>
  <sheetData>
    <row r="1" ht="21.75" customHeight="1" s="45">
      <c r="A1" s="46" t="inlineStr">
        <is>
          <t>SENA - SIGA | PROCEDIMIENTO GESTIÓN DE SISTEMAS DE INFORMACIÓN
MATRIZ DE DISEÑO Y EJECUCIÓN: PRUEBAS UNITARIAS (CAJA BLANCA / CÓDIGO FUENTE)</t>
        </is>
      </c>
    </row>
    <row r="2" ht="21.75" customHeight="1" s="45"/>
    <row r="4" ht="24" customHeight="1" s="45">
      <c r="A4" s="15" t="inlineStr">
        <is>
          <t>Nivel de Prueba:</t>
        </is>
      </c>
      <c r="B4" s="48" t="n"/>
      <c r="C4" s="57" t="inlineStr">
        <is>
          <t>Nivel 1: Pruebas Unitarias (Unit Testing)</t>
        </is>
      </c>
      <c r="D4" s="49" t="n"/>
      <c r="E4" s="48" t="n"/>
      <c r="F4" s="15" t="inlineStr">
        <is>
          <t>Enfoque Teórico / Norma:</t>
        </is>
      </c>
      <c r="G4" s="48" t="n"/>
      <c r="H4" s="59" t="inlineStr">
        <is>
          <t>ISO/IEC/IEEE 29119-4: Cobertura de sentencias, caminos lógicos, valores límite (BVA), manejo de excepciones y tipos de datos.</t>
        </is>
      </c>
      <c r="I4" s="49" t="n"/>
      <c r="J4" s="49" t="n"/>
      <c r="K4" s="49" t="n"/>
      <c r="L4" s="48" t="n"/>
    </row>
    <row r="5" ht="19.5" customHeight="1" s="45">
      <c r="A5" s="15" t="inlineStr">
        <is>
          <t>Total Ejecutadas:</t>
        </is>
      </c>
      <c r="B5" s="48" t="n"/>
      <c r="C5" s="14">
        <f>COUNTA(A8:A52)</f>
        <v/>
      </c>
      <c r="D5" s="15" t="inlineStr">
        <is>
          <t>Exitosas (Aprobadas):</t>
        </is>
      </c>
      <c r="E5" s="48" t="n"/>
      <c r="F5" s="14">
        <f>COUNTIF(I8:I52,"Exitoso")</f>
        <v/>
      </c>
      <c r="G5" s="15" t="inlineStr">
        <is>
          <t>Fallidas (Defectos):</t>
        </is>
      </c>
      <c r="H5" s="48" t="n"/>
      <c r="I5" s="14">
        <f>COUNTIF(I8:I52,"Falló")</f>
        <v/>
      </c>
      <c r="J5" s="15" t="inlineStr">
        <is>
          <t>Tasa de Éxito:</t>
        </is>
      </c>
      <c r="K5" s="60">
        <f>IF(C5&gt;0, F5/C5, 0)</f>
        <v/>
      </c>
      <c r="L5" s="48" t="n"/>
    </row>
    <row r="7" ht="27.75" customHeight="1" s="45">
      <c r="A7" s="20" t="inlineStr">
        <is>
          <t>ID Caso</t>
        </is>
      </c>
      <c r="B7" s="20" t="inlineStr">
        <is>
          <t>Componente / Escenario Probado</t>
        </is>
      </c>
      <c r="C7" s="20" t="inlineStr">
        <is>
          <t>Precondiciones / Configuración</t>
        </is>
      </c>
      <c r="D7" s="20" t="inlineStr">
        <is>
          <t>Datos de Entrada (Arrange)</t>
        </is>
      </c>
      <c r="E7" s="20" t="inlineStr">
        <is>
          <t>Pasos de Ejecución (Act)</t>
        </is>
      </c>
      <c r="F7" s="20" t="inlineStr">
        <is>
          <t>Resultado Esperado (Assert / Oráculo)</t>
        </is>
      </c>
      <c r="G7" s="20" t="inlineStr">
        <is>
          <t>Resultado Obtenido en Ejecución</t>
        </is>
      </c>
      <c r="H7" s="20" t="inlineStr">
        <is>
          <t>Tipo / Técnica</t>
        </is>
      </c>
      <c r="I7" s="20" t="inlineStr">
        <is>
          <t>Estado</t>
        </is>
      </c>
      <c r="J7" s="20" t="inlineStr">
        <is>
          <t>Severidad / Prioridad</t>
        </is>
      </c>
      <c r="K7" s="20" t="inlineStr">
        <is>
          <t>Evidencia (URL / Test Pass / Log)</t>
        </is>
      </c>
      <c r="L7" s="20" t="inlineStr">
        <is>
          <t>Observaciones / Defecto Asociado</t>
        </is>
      </c>
    </row>
    <row r="8" ht="120" customHeight="1" s="45">
      <c r="A8" s="61" t="inlineStr">
        <is>
          <t>UNIT-01</t>
        </is>
      </c>
      <c r="B8" s="62" t="inlineStr">
        <is>
          <t>Validadores de registro (api/utils/validators.py): email, teléfono, contraseña y nombre</t>
        </is>
      </c>
      <c r="C8" s="62" t="inlineStr">
        <is>
          <t>Módulo importado sin base de datos. Entorno pytest-django con SECRET_KEY de prueba.</t>
        </is>
      </c>
      <c r="D8" s="62" t="inlineStr">
        <is>
          <t>email="usuario@plomaap.com" (válido) / "usuario@" (inválido)
phone="3229874810" (válido) / "123" (inválido)
password="PlomApp2026*" (válida) / "1234567" (inválida)
name="Andrés" (válido) / "A" (inválido)</t>
        </is>
      </c>
      <c r="E8" s="62" t="inlineStr">
        <is>
          <t>1. Invocar validate_email, validate_phone, validate_password y validate_name con cada dato.
2. Capturar el valor booleano retornado.
3. Comparar contra el oráculo.</t>
        </is>
      </c>
      <c r="F8" s="62" t="inlineStr">
        <is>
          <t>Datos válidos retornan True; datos inválidos retornan False. Sin excepciones.</t>
        </is>
      </c>
      <c r="G8" s="62" t="inlineStr">
        <is>
          <t>No ejecutado aún (fase de diseño).</t>
        </is>
      </c>
      <c r="H8" s="61" t="inlineStr">
        <is>
          <t>Caja Blanca (Particiones equivalentes + BVA)</t>
        </is>
      </c>
      <c r="I8" s="61" t="inlineStr">
        <is>
          <t>Pendiente</t>
        </is>
      </c>
      <c r="J8" s="61" t="inlineStr">
        <is>
          <t>Alta</t>
        </is>
      </c>
      <c r="K8" s="63" t="inlineStr">
        <is>
          <t>Planificado: api/tests/unit/test_validators.py</t>
        </is>
      </c>
      <c r="L8" s="62" t="inlineStr">
        <is>
          <t>Cubre validación de entrada del registro; ejecutar con pytest -m unit.</t>
        </is>
      </c>
    </row>
    <row r="9" ht="120" customHeight="1" s="45">
      <c r="A9" s="61" t="inlineStr">
        <is>
          <t>UNIT-02</t>
        </is>
      </c>
      <c r="B9" s="62" t="inlineStr">
        <is>
          <t>JWT HS256 (api/utils/jwt_utils.py): generación, expiración y firma alterada</t>
        </is>
      </c>
      <c r="C9" s="62" t="inlineStr">
        <is>
          <t>settings.JWT_SECRET_KEY y JWT_ALGORITHM=HS256 configurados; freezegun disponible.</t>
        </is>
      </c>
      <c r="D9" s="62" t="inlineStr">
        <is>
          <t>user_id=1
Token válido generado con generate_token(1)
Token expirado: exp en el pasado
Token alterado: modificar un carácter de la firma</t>
        </is>
      </c>
      <c r="E9" s="62" t="inlineStr">
        <is>
          <t>1. Generar token con generate_token(1).
2. Decodificar con decode_token.
3. Repetir con token expirado y con firma alterada.</t>
        </is>
      </c>
      <c r="F9" s="62" t="inlineStr">
        <is>
          <t>Token válido: payload con sub="1" (string), iat y exp.
Token expirado o alterado: decode_token retorna None, sin excepción no controlada.</t>
        </is>
      </c>
      <c r="G9" s="62" t="inlineStr">
        <is>
          <t>No ejecutado aún (fase de diseño).</t>
        </is>
      </c>
      <c r="H9" s="61" t="inlineStr">
        <is>
          <t>Caja Blanca (Seguridad / caminos de error)</t>
        </is>
      </c>
      <c r="I9" s="61" t="inlineStr">
        <is>
          <t>Pendiente</t>
        </is>
      </c>
      <c r="J9" s="61" t="inlineStr">
        <is>
          <t>Alta</t>
        </is>
      </c>
      <c r="K9" s="63" t="inlineStr">
        <is>
          <t>Planificado: api/tests/unit/test_jwt_utils.py</t>
        </is>
      </c>
      <c r="L9" s="62" t="inlineStr">
        <is>
          <t>Valida compatibilidad con tokens emitidos por Flask (sub string).</t>
        </is>
      </c>
    </row>
    <row r="10" ht="120" customHeight="1" s="45">
      <c r="A10" s="61" t="inlineStr">
        <is>
          <t>UNIT-03</t>
        </is>
      </c>
      <c r="B10" s="62" t="inlineStr">
        <is>
          <t>Disponibilidad de citas (api/services/appointment_service.py): get_smart_time_slots y validate_appointment_transition</t>
        </is>
      </c>
      <c r="C10" s="62" t="inlineStr">
        <is>
          <t>BD de prueba con servicio de 60 min y técnico activo con schedule {"mon": [[8,18]]}; freezegun para fijar la fecha.</t>
        </is>
      </c>
      <c r="D10" s="62" t="inlineStr">
        <is>
          <t>date="2026-11-02" (lunes), service_id=1, technician_id=1
Sin citas: todos los slots 08:00-17:00 disponibles.
Con cita 09:00: slot 09:00 no disponible.
Hoy a las 17:45: slots antes de 18:15 no disponibles.
Transiciones: scheduled-&gt;in_progress (válida), completed-&gt;scheduled (inválida).</t>
        </is>
      </c>
      <c r="E10" s="62" t="inlineStr">
        <is>
          <t>1. Ejecutar get_smart_time_slots(1, "2026-11-02", 1).
2. Crear cita en 09:00 y repetir.
3. Congelar hora en 17:45 y consultar el mismo día.
4. Evaluar validate_appointment_transition.</t>
        </is>
      </c>
      <c r="F10" s="62" t="inlineStr">
        <is>
          <t>Slots de 08:00 a 17:00 con available=True; 09:00 con available=False tras la cita; ningún slot pasado hoy; transiciones válidas=True e inválidas=False.</t>
        </is>
      </c>
      <c r="G10" s="62" t="inlineStr">
        <is>
          <t>No ejecutado aún (fase de diseño).</t>
        </is>
      </c>
      <c r="H10" s="61" t="inlineStr">
        <is>
          <t>Caja Blanca (BVA / reglas de negocio)</t>
        </is>
      </c>
      <c r="I10" s="61" t="inlineStr">
        <is>
          <t>Pendiente</t>
        </is>
      </c>
      <c r="J10" s="61" t="inlineStr">
        <is>
          <t>Alta</t>
        </is>
      </c>
      <c r="K10" s="63" t="inlineStr">
        <is>
          <t>Planificado: api/tests/unit/test_appointment_slots.py</t>
        </is>
      </c>
      <c r="L10" s="62" t="inlineStr">
        <is>
          <t>Sensible a zona horaria: fijar TZ y usar freezegun.</t>
        </is>
      </c>
    </row>
    <row r="11" ht="120" customHeight="1" s="45">
      <c r="A11" s="61" t="inlineStr">
        <is>
          <t>UNIT-04</t>
        </is>
      </c>
      <c r="B11" s="62" t="inlineStr">
        <is>
          <t>Matemática de embeddings (api/services/embedding_service.py): _parse_vector y _cosine_similarity</t>
        </is>
      </c>
      <c r="C11" s="62" t="inlineStr">
        <is>
          <t>Funciones puras importadas; sin BD ni proveedor externo.</t>
        </is>
      </c>
      <c r="D11" s="62" t="inlineStr">
        <is>
          <t>_parse_vector("[1.0, 2.0, 3.0]") -&gt; [1.0, 2.0, 3.0]
_parse_vector("abc") -&gt; None
_cosine_similarity([1,0,0], [1,0,0]) -&gt; 1.0
_cosine_similarity([1,0,0], [0,1,0]) -&gt; 0.0
_cosine_similarity([], []) -&gt; 0.0
_cosine_similarity([1,0], [1,0,0]) -&gt; 0.0</t>
        </is>
      </c>
      <c r="E11" s="62" t="inlineStr">
        <is>
          <t>1. Invocar _parse_vector con JSON válido e inválido.
2. Invocar _cosine_similarity con vectores iguales, ortogonales, vacíos y de distinta dimensión.</t>
        </is>
      </c>
      <c r="F11" s="62" t="inlineStr">
        <is>
          <t>Parseo correcto de listas; None para texto inválido; similitud 1.0, 0.0 y 0.0 en los casos límite; sin ZeroDivisionError.</t>
        </is>
      </c>
      <c r="G11" s="62" t="inlineStr">
        <is>
          <t>No ejecutado aún (fase de diseño).</t>
        </is>
      </c>
      <c r="H11" s="61" t="inlineStr">
        <is>
          <t>Caja Blanca (Frontera / casos límite)</t>
        </is>
      </c>
      <c r="I11" s="61" t="inlineStr">
        <is>
          <t>Pendiente</t>
        </is>
      </c>
      <c r="J11" s="61" t="inlineStr">
        <is>
          <t>Media</t>
        </is>
      </c>
      <c r="K11" s="63" t="inlineStr">
        <is>
          <t>Planificado: api/tests/unit/test_embedding_math.py</t>
        </is>
      </c>
      <c r="L11" s="62" t="inlineStr">
        <is>
          <t>No requiere pgvector; prueba la lógica de fallback en Python.</t>
        </is>
      </c>
    </row>
    <row r="12" ht="120" customHeight="1" s="45">
      <c r="A12" s="61" t="inlineStr">
        <is>
          <t>UNIT-05</t>
        </is>
      </c>
      <c r="B12" s="62" t="inlineStr">
        <is>
          <t>Validaciones del frontend (src/utils/validation.js): email, teléfono y nombre</t>
        </is>
      </c>
      <c r="C12" s="62" t="inlineStr">
        <is>
          <t>Vitest + jsdom configurados; módulo validation.js importado.</t>
        </is>
      </c>
      <c r="D12" s="62" t="inlineStr">
        <is>
          <t>validateEmail("usuario@plomaap.com") -&gt; ""
validateEmail("usuario@") -&gt; mensaje de error
validatePhone("3229874810") -&gt; ""
validatePhone("12345") -&gt; mensaje de error
validateName("Andrés Pérez") -&gt; ""
validateName("Andrés") -&gt; mensaje de error</t>
        </is>
      </c>
      <c r="E12" s="62" t="inlineStr">
        <is>
          <t>1. Ejecutar cada validador con datos válidos e inválidos.
2. Comparar el string retornado contra MESSAGES.</t>
        </is>
      </c>
      <c r="F12" s="62" t="inlineStr">
        <is>
          <t>Datos válidos retornan cadena vacía; inválidos retornan el mensaje correspondiente de MESSAGES; sin excepciones.</t>
        </is>
      </c>
      <c r="G12" s="62" t="inlineStr">
        <is>
          <t>No ejecutado aún (fase de diseño).</t>
        </is>
      </c>
      <c r="H12" s="61" t="inlineStr">
        <is>
          <t>Caja Negra (Particiones equivalentes / UI)</t>
        </is>
      </c>
      <c r="I12" s="61" t="inlineStr">
        <is>
          <t>Pendiente</t>
        </is>
      </c>
      <c r="J12" s="61" t="inlineStr">
        <is>
          <t>Media</t>
        </is>
      </c>
      <c r="K12" s="63" t="inlineStr">
        <is>
          <t>Planificado: tests/unit/validation.test.js</t>
        </is>
      </c>
      <c r="L12" s="62" t="inlineStr">
        <is>
          <t>Complementa la validación del backend; ejecutar con npm run test:unit.</t>
        </is>
      </c>
    </row>
    <row r="13" ht="25.5" customHeight="1" s="45">
      <c r="A13" s="22" t="n"/>
      <c r="B13" s="23" t="n"/>
      <c r="C13" s="23" t="n"/>
      <c r="D13" s="23" t="n"/>
      <c r="E13" s="23" t="n"/>
      <c r="F13" s="23" t="n"/>
      <c r="G13" s="23" t="n"/>
      <c r="H13" s="22" t="n"/>
      <c r="I13" s="22" t="n"/>
      <c r="J13" s="22" t="n"/>
      <c r="K13" s="23" t="n"/>
      <c r="L13" s="23" t="n"/>
    </row>
    <row r="14" ht="25.5" customHeight="1" s="45">
      <c r="A14" s="27" t="n"/>
      <c r="B14" s="28" t="n"/>
      <c r="C14" s="28" t="n"/>
      <c r="D14" s="28" t="n"/>
      <c r="E14" s="28" t="n"/>
      <c r="F14" s="28" t="n"/>
      <c r="G14" s="28" t="n"/>
      <c r="H14" s="27" t="n"/>
      <c r="I14" s="27" t="n"/>
      <c r="J14" s="27" t="n"/>
      <c r="K14" s="28" t="n"/>
      <c r="L14" s="28" t="n"/>
    </row>
    <row r="15" ht="25.5" customHeight="1" s="45">
      <c r="A15" s="22" t="n"/>
      <c r="B15" s="23" t="n"/>
      <c r="C15" s="23" t="n"/>
      <c r="D15" s="23" t="n"/>
      <c r="E15" s="23" t="n"/>
      <c r="F15" s="23" t="n"/>
      <c r="G15" s="23" t="n"/>
      <c r="H15" s="22" t="n"/>
      <c r="I15" s="22" t="n"/>
      <c r="J15" s="22" t="n"/>
      <c r="K15" s="23" t="n"/>
      <c r="L15" s="23" t="n"/>
    </row>
    <row r="16" ht="25.5" customHeight="1" s="45">
      <c r="A16" s="27" t="n"/>
      <c r="B16" s="28" t="n"/>
      <c r="C16" s="28" t="n"/>
      <c r="D16" s="28" t="n"/>
      <c r="E16" s="28" t="n"/>
      <c r="F16" s="28" t="n"/>
      <c r="G16" s="28" t="n"/>
      <c r="H16" s="27" t="n"/>
      <c r="I16" s="27" t="n"/>
      <c r="J16" s="27" t="n"/>
      <c r="K16" s="28" t="n"/>
      <c r="L16" s="28" t="n"/>
    </row>
    <row r="17" ht="25.5" customHeight="1" s="45">
      <c r="A17" s="22" t="n"/>
      <c r="B17" s="23" t="n"/>
      <c r="C17" s="23" t="n"/>
      <c r="D17" s="23" t="n"/>
      <c r="E17" s="23" t="n"/>
      <c r="F17" s="23" t="n"/>
      <c r="G17" s="23" t="n"/>
      <c r="H17" s="22" t="n"/>
      <c r="I17" s="22" t="n"/>
      <c r="J17" s="22" t="n"/>
      <c r="K17" s="23" t="n"/>
      <c r="L17" s="23" t="n"/>
    </row>
    <row r="18" ht="25.5" customHeight="1" s="45">
      <c r="A18" s="27" t="n"/>
      <c r="B18" s="28" t="n"/>
      <c r="C18" s="28" t="n"/>
      <c r="D18" s="28" t="n"/>
      <c r="E18" s="28" t="n"/>
      <c r="F18" s="28" t="n"/>
      <c r="G18" s="28" t="n"/>
      <c r="H18" s="27" t="n"/>
      <c r="I18" s="27" t="n"/>
      <c r="J18" s="27" t="n"/>
      <c r="K18" s="28" t="n"/>
      <c r="L18" s="28" t="n"/>
    </row>
    <row r="19" ht="25.5" customHeight="1" s="45">
      <c r="A19" s="22" t="n"/>
      <c r="B19" s="23" t="n"/>
      <c r="C19" s="23" t="n"/>
      <c r="D19" s="23" t="n"/>
      <c r="E19" s="23" t="n"/>
      <c r="F19" s="23" t="n"/>
      <c r="G19" s="23" t="n"/>
      <c r="H19" s="22" t="n"/>
      <c r="I19" s="22" t="n"/>
      <c r="J19" s="22" t="n"/>
      <c r="K19" s="23" t="n"/>
      <c r="L19" s="23" t="n"/>
    </row>
    <row r="20" ht="25.5" customHeight="1" s="45">
      <c r="A20" s="27" t="n"/>
      <c r="B20" s="28" t="n"/>
      <c r="C20" s="28" t="n"/>
      <c r="D20" s="28" t="n"/>
      <c r="E20" s="28" t="n"/>
      <c r="F20" s="28" t="n"/>
      <c r="G20" s="28" t="n"/>
      <c r="H20" s="27" t="n"/>
      <c r="I20" s="27" t="n"/>
      <c r="J20" s="27" t="n"/>
      <c r="K20" s="28" t="n"/>
      <c r="L20" s="28" t="n"/>
    </row>
    <row r="21" ht="25.5" customHeight="1" s="45">
      <c r="A21" s="22" t="n"/>
      <c r="B21" s="23" t="n"/>
      <c r="C21" s="23" t="n"/>
      <c r="D21" s="23" t="n"/>
      <c r="E21" s="23" t="n"/>
      <c r="F21" s="23" t="n"/>
      <c r="G21" s="23" t="n"/>
      <c r="H21" s="22" t="n"/>
      <c r="I21" s="22" t="n"/>
      <c r="J21" s="22" t="n"/>
      <c r="K21" s="23" t="n"/>
      <c r="L21" s="23" t="n"/>
    </row>
    <row r="22" ht="25.5" customHeight="1" s="45">
      <c r="A22" s="27" t="n"/>
      <c r="B22" s="28" t="n"/>
      <c r="C22" s="28" t="n"/>
      <c r="D22" s="28" t="n"/>
      <c r="E22" s="28" t="n"/>
      <c r="F22" s="28" t="n"/>
      <c r="G22" s="28" t="n"/>
      <c r="H22" s="27" t="n"/>
      <c r="I22" s="27" t="n"/>
      <c r="J22" s="27" t="n"/>
      <c r="K22" s="28" t="n"/>
      <c r="L22" s="28" t="n"/>
    </row>
    <row r="23" ht="25.5" customHeight="1" s="45">
      <c r="A23" s="22" t="n"/>
      <c r="B23" s="23" t="n"/>
      <c r="C23" s="23" t="n"/>
      <c r="D23" s="23" t="n"/>
      <c r="E23" s="23" t="n"/>
      <c r="F23" s="23" t="n"/>
      <c r="G23" s="23" t="n"/>
      <c r="H23" s="22" t="n"/>
      <c r="I23" s="22" t="n"/>
      <c r="J23" s="22" t="n"/>
      <c r="K23" s="23" t="n"/>
      <c r="L23" s="23" t="n"/>
    </row>
    <row r="24" ht="25.5" customHeight="1" s="45">
      <c r="A24" s="27" t="n"/>
      <c r="B24" s="28" t="n"/>
      <c r="C24" s="28" t="n"/>
      <c r="D24" s="28" t="n"/>
      <c r="E24" s="28" t="n"/>
      <c r="F24" s="28" t="n"/>
      <c r="G24" s="28" t="n"/>
      <c r="H24" s="27" t="n"/>
      <c r="I24" s="27" t="n"/>
      <c r="J24" s="27" t="n"/>
      <c r="K24" s="28" t="n"/>
      <c r="L24" s="28" t="n"/>
    </row>
    <row r="25" ht="25.5" customHeight="1" s="45">
      <c r="A25" s="22" t="n"/>
      <c r="B25" s="23" t="n"/>
      <c r="C25" s="23" t="n"/>
      <c r="D25" s="23" t="n"/>
      <c r="E25" s="23" t="n"/>
      <c r="F25" s="23" t="n"/>
      <c r="G25" s="23" t="n"/>
      <c r="H25" s="22" t="n"/>
      <c r="I25" s="22" t="n"/>
      <c r="J25" s="22" t="n"/>
      <c r="K25" s="23" t="n"/>
      <c r="L25" s="23" t="n"/>
    </row>
    <row r="26" ht="25.5" customHeight="1" s="45">
      <c r="A26" s="27" t="n"/>
      <c r="B26" s="28" t="n"/>
      <c r="C26" s="28" t="n"/>
      <c r="D26" s="28" t="n"/>
      <c r="E26" s="28" t="n"/>
      <c r="F26" s="28" t="n"/>
      <c r="G26" s="28" t="n"/>
      <c r="H26" s="27" t="n"/>
      <c r="I26" s="27" t="n"/>
      <c r="J26" s="27" t="n"/>
      <c r="K26" s="28" t="n"/>
      <c r="L26" s="28" t="n"/>
    </row>
    <row r="27" ht="25.5" customHeight="1" s="45">
      <c r="A27" s="22" t="n"/>
      <c r="B27" s="23" t="n"/>
      <c r="C27" s="23" t="n"/>
      <c r="D27" s="23" t="n"/>
      <c r="E27" s="23" t="n"/>
      <c r="F27" s="23" t="n"/>
      <c r="G27" s="23" t="n"/>
      <c r="H27" s="22" t="n"/>
      <c r="I27" s="22" t="n"/>
      <c r="J27" s="22" t="n"/>
      <c r="K27" s="23" t="n"/>
      <c r="L27" s="23" t="n"/>
    </row>
    <row r="28" ht="25.5" customHeight="1" s="45">
      <c r="A28" s="27" t="n"/>
      <c r="B28" s="28" t="n"/>
      <c r="C28" s="28" t="n"/>
      <c r="D28" s="28" t="n"/>
      <c r="E28" s="28" t="n"/>
      <c r="F28" s="28" t="n"/>
      <c r="G28" s="28" t="n"/>
      <c r="H28" s="27" t="n"/>
      <c r="I28" s="27" t="n"/>
      <c r="J28" s="27" t="n"/>
      <c r="K28" s="28" t="n"/>
      <c r="L28" s="28" t="n"/>
    </row>
    <row r="29" ht="25.5" customHeight="1" s="45">
      <c r="A29" s="22" t="n"/>
      <c r="B29" s="23" t="n"/>
      <c r="C29" s="23" t="n"/>
      <c r="D29" s="23" t="n"/>
      <c r="E29" s="23" t="n"/>
      <c r="F29" s="23" t="n"/>
      <c r="G29" s="23" t="n"/>
      <c r="H29" s="22" t="n"/>
      <c r="I29" s="22" t="n"/>
      <c r="J29" s="22" t="n"/>
      <c r="K29" s="23" t="n"/>
      <c r="L29" s="23" t="n"/>
    </row>
    <row r="30" ht="25.5" customHeight="1" s="45">
      <c r="A30" s="27" t="n"/>
      <c r="B30" s="28" t="n"/>
      <c r="C30" s="28" t="n"/>
      <c r="D30" s="28" t="n"/>
      <c r="E30" s="28" t="n"/>
      <c r="F30" s="28" t="n"/>
      <c r="G30" s="28" t="n"/>
      <c r="H30" s="27" t="n"/>
      <c r="I30" s="27" t="n"/>
      <c r="J30" s="27" t="n"/>
      <c r="K30" s="28" t="n"/>
      <c r="L30" s="28" t="n"/>
    </row>
    <row r="31" ht="25.5" customHeight="1" s="45">
      <c r="A31" s="22" t="n"/>
      <c r="B31" s="23" t="n"/>
      <c r="C31" s="23" t="n"/>
      <c r="D31" s="23" t="n"/>
      <c r="E31" s="23" t="n"/>
      <c r="F31" s="23" t="n"/>
      <c r="G31" s="23" t="n"/>
      <c r="H31" s="22" t="n"/>
      <c r="I31" s="22" t="n"/>
      <c r="J31" s="22" t="n"/>
      <c r="K31" s="23" t="n"/>
      <c r="L31" s="23" t="n"/>
    </row>
    <row r="32" ht="25.5" customHeight="1" s="45">
      <c r="A32" s="27" t="n"/>
      <c r="B32" s="28" t="n"/>
      <c r="C32" s="28" t="n"/>
      <c r="D32" s="28" t="n"/>
      <c r="E32" s="28" t="n"/>
      <c r="F32" s="28" t="n"/>
      <c r="G32" s="28" t="n"/>
      <c r="H32" s="27" t="n"/>
      <c r="I32" s="27" t="n"/>
      <c r="J32" s="27" t="n"/>
      <c r="K32" s="28" t="n"/>
      <c r="L32" s="28" t="n"/>
    </row>
    <row r="33" ht="25.5" customHeight="1" s="45">
      <c r="A33" s="22" t="n"/>
      <c r="B33" s="23" t="n"/>
      <c r="C33" s="23" t="n"/>
      <c r="D33" s="23" t="n"/>
      <c r="E33" s="23" t="n"/>
      <c r="F33" s="23" t="n"/>
      <c r="G33" s="23" t="n"/>
      <c r="H33" s="22" t="n"/>
      <c r="I33" s="22" t="n"/>
      <c r="J33" s="22" t="n"/>
      <c r="K33" s="23" t="n"/>
      <c r="L33" s="23" t="n"/>
    </row>
    <row r="34" ht="25.5" customHeight="1" s="45">
      <c r="A34" s="27" t="n"/>
      <c r="B34" s="28" t="n"/>
      <c r="C34" s="28" t="n"/>
      <c r="D34" s="28" t="n"/>
      <c r="E34" s="28" t="n"/>
      <c r="F34" s="28" t="n"/>
      <c r="G34" s="28" t="n"/>
      <c r="H34" s="27" t="n"/>
      <c r="I34" s="27" t="n"/>
      <c r="J34" s="27" t="n"/>
      <c r="K34" s="28" t="n"/>
      <c r="L34" s="28" t="n"/>
    </row>
    <row r="35" ht="25.5" customHeight="1" s="45">
      <c r="A35" s="22" t="n"/>
      <c r="B35" s="23" t="n"/>
      <c r="C35" s="23" t="n"/>
      <c r="D35" s="23" t="n"/>
      <c r="E35" s="23" t="n"/>
      <c r="F35" s="23" t="n"/>
      <c r="G35" s="23" t="n"/>
      <c r="H35" s="22" t="n"/>
      <c r="I35" s="22" t="n"/>
      <c r="J35" s="22" t="n"/>
      <c r="K35" s="23" t="n"/>
      <c r="L35" s="23" t="n"/>
    </row>
    <row r="36" ht="25.5" customHeight="1" s="45">
      <c r="A36" s="27" t="n"/>
      <c r="B36" s="28" t="n"/>
      <c r="C36" s="28" t="n"/>
      <c r="D36" s="28" t="n"/>
      <c r="E36" s="28" t="n"/>
      <c r="F36" s="28" t="n"/>
      <c r="G36" s="28" t="n"/>
      <c r="H36" s="27" t="n"/>
      <c r="I36" s="27" t="n"/>
      <c r="J36" s="27" t="n"/>
      <c r="K36" s="28" t="n"/>
      <c r="L36" s="28" t="n"/>
    </row>
    <row r="37" ht="25.5" customHeight="1" s="45">
      <c r="A37" s="22" t="n"/>
      <c r="B37" s="23" t="n"/>
      <c r="C37" s="23" t="n"/>
      <c r="D37" s="23" t="n"/>
      <c r="E37" s="23" t="n"/>
      <c r="F37" s="23" t="n"/>
      <c r="G37" s="23" t="n"/>
      <c r="H37" s="22" t="n"/>
      <c r="I37" s="22" t="n"/>
      <c r="J37" s="22" t="n"/>
      <c r="K37" s="23" t="n"/>
      <c r="L37" s="23" t="n"/>
    </row>
    <row r="38" ht="25.5" customHeight="1" s="45">
      <c r="A38" s="27" t="n"/>
      <c r="B38" s="28" t="n"/>
      <c r="C38" s="28" t="n"/>
      <c r="D38" s="28" t="n"/>
      <c r="E38" s="28" t="n"/>
      <c r="F38" s="28" t="n"/>
      <c r="G38" s="28" t="n"/>
      <c r="H38" s="27" t="n"/>
      <c r="I38" s="27" t="n"/>
      <c r="J38" s="27" t="n"/>
      <c r="K38" s="28" t="n"/>
      <c r="L38" s="28" t="n"/>
    </row>
    <row r="39" ht="25.5" customHeight="1" s="45">
      <c r="A39" s="22" t="n"/>
      <c r="B39" s="23" t="n"/>
      <c r="C39" s="23" t="n"/>
      <c r="D39" s="23" t="n"/>
      <c r="E39" s="23" t="n"/>
      <c r="F39" s="23" t="n"/>
      <c r="G39" s="23" t="n"/>
      <c r="H39" s="22" t="n"/>
      <c r="I39" s="22" t="n"/>
      <c r="J39" s="22" t="n"/>
      <c r="K39" s="23" t="n"/>
      <c r="L39" s="23" t="n"/>
    </row>
    <row r="40" ht="25.5" customHeight="1" s="45">
      <c r="A40" s="27" t="n"/>
      <c r="B40" s="28" t="n"/>
      <c r="C40" s="28" t="n"/>
      <c r="D40" s="28" t="n"/>
      <c r="E40" s="28" t="n"/>
      <c r="F40" s="28" t="n"/>
      <c r="G40" s="28" t="n"/>
      <c r="H40" s="27" t="n"/>
      <c r="I40" s="27" t="n"/>
      <c r="J40" s="27" t="n"/>
      <c r="K40" s="28" t="n"/>
      <c r="L40" s="28" t="n"/>
    </row>
    <row r="41" ht="25.5" customHeight="1" s="45">
      <c r="A41" s="22" t="n"/>
      <c r="B41" s="23" t="n"/>
      <c r="C41" s="23" t="n"/>
      <c r="D41" s="23" t="n"/>
      <c r="E41" s="23" t="n"/>
      <c r="F41" s="23" t="n"/>
      <c r="G41" s="23" t="n"/>
      <c r="H41" s="22" t="n"/>
      <c r="I41" s="22" t="n"/>
      <c r="J41" s="22" t="n"/>
      <c r="K41" s="23" t="n"/>
      <c r="L41" s="23" t="n"/>
    </row>
    <row r="42" ht="25.5" customHeight="1" s="45">
      <c r="A42" s="27" t="n"/>
      <c r="B42" s="28" t="n"/>
      <c r="C42" s="28" t="n"/>
      <c r="D42" s="28" t="n"/>
      <c r="E42" s="28" t="n"/>
      <c r="F42" s="28" t="n"/>
      <c r="G42" s="28" t="n"/>
      <c r="H42" s="27" t="n"/>
      <c r="I42" s="27" t="n"/>
      <c r="J42" s="27" t="n"/>
      <c r="K42" s="28" t="n"/>
      <c r="L42" s="28" t="n"/>
    </row>
    <row r="43" ht="25.5" customHeight="1" s="45">
      <c r="A43" s="22" t="n"/>
      <c r="B43" s="23" t="n"/>
      <c r="C43" s="23" t="n"/>
      <c r="D43" s="23" t="n"/>
      <c r="E43" s="23" t="n"/>
      <c r="F43" s="23" t="n"/>
      <c r="G43" s="23" t="n"/>
      <c r="H43" s="22" t="n"/>
      <c r="I43" s="22" t="n"/>
      <c r="J43" s="22" t="n"/>
      <c r="K43" s="23" t="n"/>
      <c r="L43" s="23" t="n"/>
    </row>
    <row r="44" ht="25.5" customHeight="1" s="45">
      <c r="A44" s="27" t="n"/>
      <c r="B44" s="28" t="n"/>
      <c r="C44" s="28" t="n"/>
      <c r="D44" s="28" t="n"/>
      <c r="E44" s="28" t="n"/>
      <c r="F44" s="28" t="n"/>
      <c r="G44" s="28" t="n"/>
      <c r="H44" s="27" t="n"/>
      <c r="I44" s="27" t="n"/>
      <c r="J44" s="27" t="n"/>
      <c r="K44" s="28" t="n"/>
      <c r="L44" s="28" t="n"/>
    </row>
    <row r="45" ht="25.5" customHeight="1" s="45">
      <c r="A45" s="22" t="n"/>
      <c r="B45" s="23" t="n"/>
      <c r="C45" s="23" t="n"/>
      <c r="D45" s="23" t="n"/>
      <c r="E45" s="23" t="n"/>
      <c r="F45" s="23" t="n"/>
      <c r="G45" s="23" t="n"/>
      <c r="H45" s="22" t="n"/>
      <c r="I45" s="22" t="n"/>
      <c r="J45" s="22" t="n"/>
      <c r="K45" s="23" t="n"/>
      <c r="L45" s="23" t="n"/>
    </row>
    <row r="46" ht="25.5" customHeight="1" s="45">
      <c r="A46" s="27" t="n"/>
      <c r="B46" s="28" t="n"/>
      <c r="C46" s="28" t="n"/>
      <c r="D46" s="28" t="n"/>
      <c r="E46" s="28" t="n"/>
      <c r="F46" s="28" t="n"/>
      <c r="G46" s="28" t="n"/>
      <c r="H46" s="27" t="n"/>
      <c r="I46" s="27" t="n"/>
      <c r="J46" s="27" t="n"/>
      <c r="K46" s="28" t="n"/>
      <c r="L46" s="28" t="n"/>
    </row>
    <row r="47" ht="25.5" customHeight="1" s="45">
      <c r="A47" s="22" t="n"/>
      <c r="B47" s="23" t="n"/>
      <c r="C47" s="23" t="n"/>
      <c r="D47" s="23" t="n"/>
      <c r="E47" s="23" t="n"/>
      <c r="F47" s="23" t="n"/>
      <c r="G47" s="23" t="n"/>
      <c r="H47" s="22" t="n"/>
      <c r="I47" s="22" t="n"/>
      <c r="J47" s="22" t="n"/>
      <c r="K47" s="23" t="n"/>
      <c r="L47" s="23" t="n"/>
    </row>
    <row r="48" ht="25.5" customHeight="1" s="45">
      <c r="A48" s="27" t="n"/>
      <c r="B48" s="28" t="n"/>
      <c r="C48" s="28" t="n"/>
      <c r="D48" s="28" t="n"/>
      <c r="E48" s="28" t="n"/>
      <c r="F48" s="28" t="n"/>
      <c r="G48" s="28" t="n"/>
      <c r="H48" s="27" t="n"/>
      <c r="I48" s="27" t="n"/>
      <c r="J48" s="27" t="n"/>
      <c r="K48" s="28" t="n"/>
      <c r="L48" s="28" t="n"/>
    </row>
    <row r="49" ht="25.5" customHeight="1" s="45">
      <c r="A49" s="22" t="n"/>
      <c r="B49" s="23" t="n"/>
      <c r="C49" s="23" t="n"/>
      <c r="D49" s="23" t="n"/>
      <c r="E49" s="23" t="n"/>
      <c r="F49" s="23" t="n"/>
      <c r="G49" s="23" t="n"/>
      <c r="H49" s="22" t="n"/>
      <c r="I49" s="22" t="n"/>
      <c r="J49" s="22" t="n"/>
      <c r="K49" s="23" t="n"/>
      <c r="L49" s="23" t="n"/>
    </row>
    <row r="50" ht="25.5" customHeight="1" s="45">
      <c r="A50" s="27" t="n"/>
      <c r="B50" s="28" t="n"/>
      <c r="C50" s="28" t="n"/>
      <c r="D50" s="28" t="n"/>
      <c r="E50" s="28" t="n"/>
      <c r="F50" s="28" t="n"/>
      <c r="G50" s="28" t="n"/>
      <c r="H50" s="27" t="n"/>
      <c r="I50" s="27" t="n"/>
      <c r="J50" s="27" t="n"/>
      <c r="K50" s="28" t="n"/>
      <c r="L50" s="28" t="n"/>
    </row>
    <row r="51" ht="25.5" customHeight="1" s="45">
      <c r="A51" s="22" t="n"/>
      <c r="B51" s="23" t="n"/>
      <c r="C51" s="23" t="n"/>
      <c r="D51" s="23" t="n"/>
      <c r="E51" s="23" t="n"/>
      <c r="F51" s="23" t="n"/>
      <c r="G51" s="23" t="n"/>
      <c r="H51" s="22" t="n"/>
      <c r="I51" s="22" t="n"/>
      <c r="J51" s="22" t="n"/>
      <c r="K51" s="23" t="n"/>
      <c r="L51" s="23" t="n"/>
    </row>
    <row r="52" ht="25.5" customHeight="1" s="45">
      <c r="A52" s="27" t="n"/>
      <c r="B52" s="28" t="n"/>
      <c r="C52" s="28" t="n"/>
      <c r="D52" s="28" t="n"/>
      <c r="E52" s="28" t="n"/>
      <c r="F52" s="28" t="n"/>
      <c r="G52" s="28" t="n"/>
      <c r="H52" s="27" t="n"/>
      <c r="I52" s="27" t="n"/>
      <c r="J52" s="27" t="n"/>
      <c r="K52" s="28" t="n"/>
      <c r="L52" s="28" t="n"/>
    </row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9">
    <mergeCell ref="A4:B4"/>
    <mergeCell ref="F4:G4"/>
    <mergeCell ref="D5:E5"/>
    <mergeCell ref="A1:L2"/>
    <mergeCell ref="G5:H5"/>
    <mergeCell ref="C4:E4"/>
    <mergeCell ref="K5:L5"/>
    <mergeCell ref="A5:B5"/>
    <mergeCell ref="H4:L4"/>
  </mergeCells>
  <conditionalFormatting sqref="I8:I52">
    <cfRule type="cellIs" priority="1" operator="equal" dxfId="0">
      <formula>"Exitoso"</formula>
    </cfRule>
    <cfRule type="cellIs" priority="2" operator="equal" dxfId="1">
      <formula>"Falló"</formula>
    </cfRule>
    <cfRule type="cellIs" priority="3" operator="equal" dxfId="2">
      <formula>"Pendiente"</formula>
    </cfRule>
    <cfRule type="cellIs" priority="4" operator="equal" dxfId="2">
      <formula>"Bloqueado"</formula>
    </cfRule>
  </conditionalFormatting>
  <dataValidations count="2">
    <dataValidation sqref="J8:J52" showDropDown="0" showInputMessage="0" showErrorMessage="0" allowBlank="1" type="list">
      <formula1>"Alta,Media,Baja"</formula1>
    </dataValidation>
    <dataValidation sqref="I8:I52" showDropDown="0" showInputMessage="0" showErrorMessage="0" allowBlank="1" type="list">
      <formula1>"Exitoso,Falló,Bloqueado,Pendiente"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12" customWidth="1" style="45" min="1" max="1"/>
    <col width="34" customWidth="1" style="45" min="2" max="2"/>
    <col width="32" customWidth="1" style="45" min="3" max="3"/>
    <col width="36" customWidth="1" style="45" min="4" max="4"/>
    <col width="40" customWidth="1" style="45" min="5" max="7"/>
    <col width="40" customWidth="1" style="45" min="6" max="6"/>
    <col width="36" customWidth="1" style="45" min="7" max="7"/>
    <col width="24" customWidth="1" style="45" min="8" max="8"/>
    <col width="12" customWidth="1" style="45" min="9" max="10"/>
    <col width="11" customWidth="1" style="45" min="10" max="10"/>
    <col width="36" customWidth="1" style="45" min="11" max="11"/>
    <col width="34" customWidth="1" style="45" min="12" max="12"/>
    <col width="8.710000000000001" customWidth="1" style="45" min="13" max="26"/>
  </cols>
  <sheetData>
    <row r="1" ht="21.75" customHeight="1" s="45">
      <c r="A1" s="46" t="inlineStr">
        <is>
          <t>SENA - SIGA | PROCEDIMIENTO GESTIÓN DE SISTEMAS DE INFORMACIÓN
MATRIZ DE DISEÑO Y EJECUCIÓN: PRUEBAS DE INTEGRACIÓN (CAJA GRIS / SERVICIOS Y APIS)</t>
        </is>
      </c>
    </row>
    <row r="2" ht="21.75" customHeight="1" s="45"/>
    <row r="4" ht="24" customHeight="1" s="45">
      <c r="A4" s="15" t="inlineStr">
        <is>
          <t>Nivel de Prueba:</t>
        </is>
      </c>
      <c r="B4" s="48" t="n"/>
      <c r="C4" s="57" t="inlineStr">
        <is>
          <t>Nivel 2: Pruebas de Integración (Integration Testing)</t>
        </is>
      </c>
      <c r="D4" s="49" t="n"/>
      <c r="E4" s="48" t="n"/>
      <c r="F4" s="15" t="inlineStr">
        <is>
          <t>Enfoque Teórico / Norma:</t>
        </is>
      </c>
      <c r="G4" s="48" t="n"/>
      <c r="H4" s="59" t="inlineStr">
        <is>
          <t>Verificación de interfaces entre módulos, interacción API-Base de Datos, middleware, colas de mensajería y persistencia.</t>
        </is>
      </c>
      <c r="I4" s="49" t="n"/>
      <c r="J4" s="49" t="n"/>
      <c r="K4" s="49" t="n"/>
      <c r="L4" s="48" t="n"/>
    </row>
    <row r="5" ht="19.5" customHeight="1" s="45">
      <c r="A5" s="15" t="inlineStr">
        <is>
          <t>Total Ejecutadas:</t>
        </is>
      </c>
      <c r="B5" s="48" t="n"/>
      <c r="C5" s="14">
        <f>COUNTA(A8:A42)</f>
        <v/>
      </c>
      <c r="D5" s="15" t="inlineStr">
        <is>
          <t>Exitosas (Aprobadas):</t>
        </is>
      </c>
      <c r="E5" s="48" t="n"/>
      <c r="F5" s="14">
        <f>COUNTIF(I8:I42,"Exitoso")</f>
        <v/>
      </c>
      <c r="G5" s="15" t="inlineStr">
        <is>
          <t>Fallidas (Defectos):</t>
        </is>
      </c>
      <c r="H5" s="48" t="n"/>
      <c r="I5" s="14">
        <f>COUNTIF(I8:I42,"Falló")</f>
        <v/>
      </c>
      <c r="J5" s="15" t="inlineStr">
        <is>
          <t>Tasa de Éxito:</t>
        </is>
      </c>
      <c r="K5" s="60">
        <f>IF(C5&gt;0, F5/C5, 0)</f>
        <v/>
      </c>
      <c r="L5" s="48" t="n"/>
    </row>
    <row r="7" ht="27.75" customHeight="1" s="45">
      <c r="A7" s="20" t="inlineStr">
        <is>
          <t>ID Caso</t>
        </is>
      </c>
      <c r="B7" s="20" t="inlineStr">
        <is>
          <t>Componente / Escenario Probado</t>
        </is>
      </c>
      <c r="C7" s="20" t="inlineStr">
        <is>
          <t>Precondiciones / Configuración</t>
        </is>
      </c>
      <c r="D7" s="20" t="inlineStr">
        <is>
          <t>Datos de Entrada (Arrange)</t>
        </is>
      </c>
      <c r="E7" s="20" t="inlineStr">
        <is>
          <t>Pasos de Ejecución (Act)</t>
        </is>
      </c>
      <c r="F7" s="20" t="inlineStr">
        <is>
          <t>Resultado Esperado (Assert / Oráculo)</t>
        </is>
      </c>
      <c r="G7" s="20" t="inlineStr">
        <is>
          <t>Resultado Obtenido en Ejecución</t>
        </is>
      </c>
      <c r="H7" s="20" t="inlineStr">
        <is>
          <t>Tipo / Técnica</t>
        </is>
      </c>
      <c r="I7" s="20" t="inlineStr">
        <is>
          <t>Estado</t>
        </is>
      </c>
      <c r="J7" s="20" t="inlineStr">
        <is>
          <t>Severidad / Prioridad</t>
        </is>
      </c>
      <c r="K7" s="20" t="inlineStr">
        <is>
          <t>Evidencia (URL / Test Pass / Log)</t>
        </is>
      </c>
      <c r="L7" s="20" t="inlineStr">
        <is>
          <t>Observaciones / Defecto Asociado</t>
        </is>
      </c>
    </row>
    <row r="8" ht="160" customHeight="1" s="45">
      <c r="A8" s="61" t="inlineStr">
        <is>
          <t>INT-01</t>
        </is>
      </c>
      <c r="B8" s="62" t="inlineStr">
        <is>
          <t>API de autenticación: POST /api/auth/register, POST /api/auth/login y GET /api/auth/profile</t>
        </is>
      </c>
      <c r="C8" s="62" t="inlineStr">
        <is>
          <t>BD de pruebas migrada; SECRET_KEY/JWT_SECRET_KEY de test; bcrypt rounds=12; cliente HTTP de Django.</t>
        </is>
      </c>
      <c r="D8" s="62" t="inlineStr">
        <is>
          <t>register: {"name":"Andrés Test","email":"andres.test@plomaap.com","password":"PlomApp2026*"}
login: mismo email/password
profile: header Authorization: Bearer &lt;token&gt;</t>
        </is>
      </c>
      <c r="E8" s="62" t="inlineStr">
        <is>
          <t>1. POST register y validar 201 + token.
2. POST login y validar 200 + user + token.
3. GET profile con Bearer y validar 200.
4. Repetir login con password incorrecta y validar 401.
5. Verificar que el password no se devuelva en claro.</t>
        </is>
      </c>
      <c r="F8" s="62" t="inlineStr">
        <is>
          <t>201/200/200/401; token con sub string; usuario persistido; password bcrypt verificable; sin password en la respuesta.</t>
        </is>
      </c>
      <c r="G8" s="62" t="inlineStr">
        <is>
          <t>10/10 tests del contrato OK (SQLite) el 26/10/2026: register 201, login 200, profile 401 sin token, password incorrecta 401.</t>
        </is>
      </c>
      <c r="H8" s="61" t="inlineStr">
        <is>
          <t>Caja Gris (API + BD + JWT/bcrypt)</t>
        </is>
      </c>
      <c r="I8" s="61" t="inlineStr">
        <is>
          <t>Exitoso</t>
        </is>
      </c>
      <c r="J8" s="61" t="inlineStr">
        <is>
          <t>Alta</t>
        </is>
      </c>
      <c r="K8" s="63" t="inlineStr">
        <is>
          <t>manage.py test: 10/10 OK; api/tests/integration/test_auth_api.py (pendiente Postgres)</t>
        </is>
      </c>
      <c r="L8" s="62" t="inlineStr">
        <is>
          <t>Evidencia preliminar en SQLite; repetir en Postgres de pruebas antes de cerrar.</t>
        </is>
      </c>
    </row>
    <row r="9" ht="160" customHeight="1" s="45">
      <c r="A9" s="61" t="inlineStr">
        <is>
          <t>INT-02</t>
        </is>
      </c>
      <c r="B9" s="62" t="inlineStr">
        <is>
          <t>Citas: GET /api/appointments/availability y POST /api/appointments con prevención de doble reserva</t>
        </is>
      </c>
      <c r="C9" s="62" t="inlineStr">
        <is>
          <t>Postgres de pruebas; cliente autenticado; servicio y técnico activos con schedule del lunes; sin citas en el slot.</t>
        </is>
      </c>
      <c r="D9" s="62" t="inlineStr">
        <is>
          <t>GET /api/appointments/availability?service_id=1&amp;date=2026-11-02&amp;technician_id=1
POST /api/appointments {"service_id":1,"date":"2026-11-02","time":"09:00","technician_id":1,"address":"Calle 1 #2-3"}</t>
        </is>
      </c>
      <c r="E9" s="62" t="inlineStr">
        <is>
          <t>1. Consultar disponibilidad y confirmar 09:00.
2. Crear la cita y validar 201.
3. Repetir la misma reserva y validar 409 SLOT_UNAVAILABLE.
4. Consultar la BD y verificar una sola fila.</t>
        </is>
      </c>
      <c r="F9" s="62" t="inlineStr">
        <is>
          <t>Disponibilidad 200 con 09:00; creación 201; duplicado 409; una sola cita en BD; sin doble reserva.</t>
        </is>
      </c>
      <c r="G9" s="62" t="inlineStr">
        <is>
          <t>No ejecutado aún de forma automatizada; smoke 98/98 en clon y /api/appointments 200 como evidencia preliminar.</t>
        </is>
      </c>
      <c r="H9" s="61" t="inlineStr">
        <is>
          <t>Caja Gris (API + BD + transacción/row lock)</t>
        </is>
      </c>
      <c r="I9" s="61" t="inlineStr">
        <is>
          <t>Pendiente</t>
        </is>
      </c>
      <c r="J9" s="61" t="inlineStr">
        <is>
          <t>Alta</t>
        </is>
      </c>
      <c r="K9" s="63" t="inlineStr">
        <is>
          <t>Planificado: api/tests/integration/test_appointments_api.py; smoke 98/98 (clon)</t>
        </is>
      </c>
      <c r="L9" s="62" t="inlineStr">
        <is>
          <t>Requiere PostgreSQL: select_for_update no aplica en SQLite.</t>
        </is>
      </c>
    </row>
    <row r="10" ht="160" customHeight="1" s="45">
      <c r="A10" s="61" t="inlineStr">
        <is>
          <t>INT-03</t>
        </is>
      </c>
      <c r="B10" s="62" t="inlineStr">
        <is>
          <t>pgvector: sincronización y búsqueda semántica (POST /api/embeddings/sync y /api/embeddings/search)</t>
        </is>
      </c>
      <c r="C10" s="62" t="inlineStr">
        <is>
          <t>Postgres con extensión vector 0.8.6 e índice HNSW; proveedor de embeddings mockeado con vector determinista de 512 dimensiones.</t>
        </is>
      </c>
      <c r="D10" s="62" t="inlineStr">
        <is>
          <t>POST /api/embeddings/sync
POST /api/embeddings/search {"query":"fuga de agua","entity_type":"service","top_k":3}</t>
        </is>
      </c>
      <c r="E10" s="62" t="inlineStr">
        <is>
          <t>1. Sincronizar embeddings y validar 200.
2. Verificar en BD el tipo vector(512) y el índice HNSW.
3. Buscar "fuga de agua" y validar resultados.
4. Calcular similitud de un vector consigo mismo.</t>
        </is>
      </c>
      <c r="F10" s="62" t="inlineStr">
        <is>
          <t>Sync 200; columna vector(512); índice HNSW presente; búsqueda devuelve servicios ordenados; similitud propia = 1.0; sin fallback silencioso a Python.</t>
        </is>
      </c>
      <c r="G10" s="62" t="inlineStr">
        <is>
          <t>No ejecutado aún de forma automatizada; verificación manual: vector 0.8.6, HNSW, similitud 1.0 y búsqueda con resultados.</t>
        </is>
      </c>
      <c r="H10" s="61" t="inlineStr">
        <is>
          <t>Caja Gris (BD vectorial / integración)</t>
        </is>
      </c>
      <c r="I10" s="61" t="inlineStr">
        <is>
          <t>Pendiente</t>
        </is>
      </c>
      <c r="J10" s="61" t="inlineStr">
        <is>
          <t>Alta</t>
        </is>
      </c>
      <c r="K10" s="63" t="inlineStr">
        <is>
          <t>Planificado: api/tests/integration/test_pgvector.py; verify_pgvector.py (manual)</t>
        </is>
      </c>
      <c r="L10" s="62" t="inlineStr">
        <is>
          <t>Mockear Voyage/Gemini para que la prueba sea determinista y no dependa de red.</t>
        </is>
      </c>
    </row>
    <row r="11" ht="160" customHeight="1" s="45">
      <c r="A11" s="61" t="inlineStr">
        <is>
          <t>INT-04</t>
        </is>
      </c>
      <c r="B11" s="62" t="inlineStr">
        <is>
          <t>Evidencias: POST /api/upload/evidence y persistencia JSONB de evidence_photos</t>
        </is>
      </c>
      <c r="C11" s="62" t="inlineStr">
        <is>
          <t>Postgres de pruebas; autenticación de cliente; cita existente; directorio temporal para uploads; límite 10 MB.</t>
        </is>
      </c>
      <c r="D11" s="62" t="inlineStr">
        <is>
          <t>PNG válido con firma \x89PNG\r\n\x1a\n
PNG falso con contenido HTML
Archivo de 11 MB
PATCH /api/appointments/1 con {"evidence_photos":["/static/uploads/evidence/&lt;uuid&gt;.png"]}</t>
        </is>
      </c>
      <c r="E11" s="62" t="inlineStr">
        <is>
          <t>1. Subir PNG válido y validar 201 + URL.
2. Subir contenido falso y validar 400.
3. Subir archivo &gt;10 MB y validar 400.
4. Guardar la URL en evidence_photos y leer la cita; verificar que sea lista JSONB.</t>
        </is>
      </c>
      <c r="F11" s="62" t="inlineStr">
        <is>
          <t>201 para imagen real; 400 para contenido falso y tamaño excedido; evidence_photos se lee como lista (jsonb), sin error 500.</t>
        </is>
      </c>
      <c r="G11" s="62" t="inlineStr">
        <is>
          <t>3/3 tests de upload OK el 26/10/2026 (PNG 201, falso 400, 11 MB 400); JSONB verificado en la BD real.</t>
        </is>
      </c>
      <c r="H11" s="61" t="inlineStr">
        <is>
          <t>Caja Gris (API + filesystem + JSONB)</t>
        </is>
      </c>
      <c r="I11" s="61" t="inlineStr">
        <is>
          <t>Exitoso</t>
        </is>
      </c>
      <c r="J11" s="61" t="inlineStr">
        <is>
          <t>Media</t>
        </is>
      </c>
      <c r="K11" s="62" t="inlineStr">
        <is>
          <t>manage.py test: 3/3 upload OK; api/tests/integration/test_uploads_jsonb.py (planificado)</t>
        </is>
      </c>
      <c r="L11" s="62" t="inlineStr">
        <is>
          <t>Evitar escribir en static/uploads real; usar tmp_path/override_settings.</t>
        </is>
      </c>
    </row>
    <row r="12" ht="25.5" customHeight="1" s="45">
      <c r="A12" s="27" t="n"/>
      <c r="B12" s="28" t="n"/>
      <c r="C12" s="28" t="n"/>
      <c r="D12" s="28" t="n"/>
      <c r="E12" s="28" t="n"/>
      <c r="F12" s="28" t="n"/>
      <c r="G12" s="28" t="n"/>
      <c r="H12" s="27" t="n"/>
      <c r="I12" s="27" t="n"/>
      <c r="J12" s="27" t="n"/>
      <c r="K12" s="28" t="n"/>
      <c r="L12" s="28" t="n"/>
    </row>
    <row r="13" ht="25.5" customHeight="1" s="45">
      <c r="A13" s="22" t="n"/>
      <c r="B13" s="23" t="n"/>
      <c r="C13" s="23" t="n"/>
      <c r="D13" s="23" t="n"/>
      <c r="E13" s="23" t="n"/>
      <c r="F13" s="23" t="n"/>
      <c r="G13" s="23" t="n"/>
      <c r="H13" s="22" t="n"/>
      <c r="I13" s="22" t="n"/>
      <c r="J13" s="22" t="n"/>
      <c r="K13" s="23" t="n"/>
      <c r="L13" s="23" t="n"/>
    </row>
    <row r="14" ht="25.5" customHeight="1" s="45">
      <c r="A14" s="27" t="n"/>
      <c r="B14" s="28" t="n"/>
      <c r="C14" s="28" t="n"/>
      <c r="D14" s="28" t="n"/>
      <c r="E14" s="28" t="n"/>
      <c r="F14" s="28" t="n"/>
      <c r="G14" s="28" t="n"/>
      <c r="H14" s="27" t="n"/>
      <c r="I14" s="27" t="n"/>
      <c r="J14" s="27" t="n"/>
      <c r="K14" s="28" t="n"/>
      <c r="L14" s="28" t="n"/>
    </row>
    <row r="15" ht="25.5" customHeight="1" s="45">
      <c r="A15" s="22" t="n"/>
      <c r="B15" s="23" t="n"/>
      <c r="C15" s="23" t="n"/>
      <c r="D15" s="23" t="n"/>
      <c r="E15" s="23" t="n"/>
      <c r="F15" s="23" t="n"/>
      <c r="G15" s="23" t="n"/>
      <c r="H15" s="22" t="n"/>
      <c r="I15" s="22" t="n"/>
      <c r="J15" s="22" t="n"/>
      <c r="K15" s="23" t="n"/>
      <c r="L15" s="23" t="n"/>
    </row>
    <row r="16" ht="25.5" customHeight="1" s="45">
      <c r="A16" s="27" t="n"/>
      <c r="B16" s="28" t="n"/>
      <c r="C16" s="28" t="n"/>
      <c r="D16" s="28" t="n"/>
      <c r="E16" s="28" t="n"/>
      <c r="F16" s="28" t="n"/>
      <c r="G16" s="28" t="n"/>
      <c r="H16" s="27" t="n"/>
      <c r="I16" s="27" t="n"/>
      <c r="J16" s="27" t="n"/>
      <c r="K16" s="28" t="n"/>
      <c r="L16" s="28" t="n"/>
    </row>
    <row r="17" ht="25.5" customHeight="1" s="45">
      <c r="A17" s="22" t="n"/>
      <c r="B17" s="23" t="n"/>
      <c r="C17" s="23" t="n"/>
      <c r="D17" s="23" t="n"/>
      <c r="E17" s="23" t="n"/>
      <c r="F17" s="23" t="n"/>
      <c r="G17" s="23" t="n"/>
      <c r="H17" s="22" t="n"/>
      <c r="I17" s="22" t="n"/>
      <c r="J17" s="22" t="n"/>
      <c r="K17" s="23" t="n"/>
      <c r="L17" s="23" t="n"/>
    </row>
    <row r="18" ht="25.5" customHeight="1" s="45">
      <c r="A18" s="27" t="n"/>
      <c r="B18" s="28" t="n"/>
      <c r="C18" s="28" t="n"/>
      <c r="D18" s="28" t="n"/>
      <c r="E18" s="28" t="n"/>
      <c r="F18" s="28" t="n"/>
      <c r="G18" s="28" t="n"/>
      <c r="H18" s="27" t="n"/>
      <c r="I18" s="27" t="n"/>
      <c r="J18" s="27" t="n"/>
      <c r="K18" s="28" t="n"/>
      <c r="L18" s="28" t="n"/>
    </row>
    <row r="19" ht="25.5" customHeight="1" s="45">
      <c r="A19" s="22" t="n"/>
      <c r="B19" s="23" t="n"/>
      <c r="C19" s="23" t="n"/>
      <c r="D19" s="23" t="n"/>
      <c r="E19" s="23" t="n"/>
      <c r="F19" s="23" t="n"/>
      <c r="G19" s="23" t="n"/>
      <c r="H19" s="22" t="n"/>
      <c r="I19" s="22" t="n"/>
      <c r="J19" s="22" t="n"/>
      <c r="K19" s="23" t="n"/>
      <c r="L19" s="23" t="n"/>
    </row>
    <row r="20" ht="25.5" customHeight="1" s="45">
      <c r="A20" s="27" t="n"/>
      <c r="B20" s="28" t="n"/>
      <c r="C20" s="28" t="n"/>
      <c r="D20" s="28" t="n"/>
      <c r="E20" s="28" t="n"/>
      <c r="F20" s="28" t="n"/>
      <c r="G20" s="28" t="n"/>
      <c r="H20" s="27" t="n"/>
      <c r="I20" s="27" t="n"/>
      <c r="J20" s="27" t="n"/>
      <c r="K20" s="28" t="n"/>
      <c r="L20" s="28" t="n"/>
    </row>
    <row r="21" ht="25.5" customHeight="1" s="45">
      <c r="A21" s="22" t="n"/>
      <c r="B21" s="23" t="n"/>
      <c r="C21" s="23" t="n"/>
      <c r="D21" s="23" t="n"/>
      <c r="E21" s="23" t="n"/>
      <c r="F21" s="23" t="n"/>
      <c r="G21" s="23" t="n"/>
      <c r="H21" s="22" t="n"/>
      <c r="I21" s="22" t="n"/>
      <c r="J21" s="22" t="n"/>
      <c r="K21" s="23" t="n"/>
      <c r="L21" s="23" t="n"/>
    </row>
    <row r="22" ht="25.5" customHeight="1" s="45">
      <c r="A22" s="27" t="n"/>
      <c r="B22" s="28" t="n"/>
      <c r="C22" s="28" t="n"/>
      <c r="D22" s="28" t="n"/>
      <c r="E22" s="28" t="n"/>
      <c r="F22" s="28" t="n"/>
      <c r="G22" s="28" t="n"/>
      <c r="H22" s="27" t="n"/>
      <c r="I22" s="27" t="n"/>
      <c r="J22" s="27" t="n"/>
      <c r="K22" s="28" t="n"/>
      <c r="L22" s="28" t="n"/>
    </row>
    <row r="23" ht="25.5" customHeight="1" s="45">
      <c r="A23" s="22" t="n"/>
      <c r="B23" s="23" t="n"/>
      <c r="C23" s="23" t="n"/>
      <c r="D23" s="23" t="n"/>
      <c r="E23" s="23" t="n"/>
      <c r="F23" s="23" t="n"/>
      <c r="G23" s="23" t="n"/>
      <c r="H23" s="22" t="n"/>
      <c r="I23" s="22" t="n"/>
      <c r="J23" s="22" t="n"/>
      <c r="K23" s="23" t="n"/>
      <c r="L23" s="23" t="n"/>
    </row>
    <row r="24" ht="25.5" customHeight="1" s="45">
      <c r="A24" s="27" t="n"/>
      <c r="B24" s="28" t="n"/>
      <c r="C24" s="28" t="n"/>
      <c r="D24" s="28" t="n"/>
      <c r="E24" s="28" t="n"/>
      <c r="F24" s="28" t="n"/>
      <c r="G24" s="28" t="n"/>
      <c r="H24" s="27" t="n"/>
      <c r="I24" s="27" t="n"/>
      <c r="J24" s="27" t="n"/>
      <c r="K24" s="28" t="n"/>
      <c r="L24" s="28" t="n"/>
    </row>
    <row r="25" ht="25.5" customHeight="1" s="45">
      <c r="A25" s="22" t="n"/>
      <c r="B25" s="23" t="n"/>
      <c r="C25" s="23" t="n"/>
      <c r="D25" s="23" t="n"/>
      <c r="E25" s="23" t="n"/>
      <c r="F25" s="23" t="n"/>
      <c r="G25" s="23" t="n"/>
      <c r="H25" s="22" t="n"/>
      <c r="I25" s="22" t="n"/>
      <c r="J25" s="22" t="n"/>
      <c r="K25" s="23" t="n"/>
      <c r="L25" s="23" t="n"/>
    </row>
    <row r="26" ht="25.5" customHeight="1" s="45">
      <c r="A26" s="27" t="n"/>
      <c r="B26" s="28" t="n"/>
      <c r="C26" s="28" t="n"/>
      <c r="D26" s="28" t="n"/>
      <c r="E26" s="28" t="n"/>
      <c r="F26" s="28" t="n"/>
      <c r="G26" s="28" t="n"/>
      <c r="H26" s="27" t="n"/>
      <c r="I26" s="27" t="n"/>
      <c r="J26" s="27" t="n"/>
      <c r="K26" s="28" t="n"/>
      <c r="L26" s="28" t="n"/>
    </row>
    <row r="27" ht="25.5" customHeight="1" s="45">
      <c r="A27" s="22" t="n"/>
      <c r="B27" s="23" t="n"/>
      <c r="C27" s="23" t="n"/>
      <c r="D27" s="23" t="n"/>
      <c r="E27" s="23" t="n"/>
      <c r="F27" s="23" t="n"/>
      <c r="G27" s="23" t="n"/>
      <c r="H27" s="22" t="n"/>
      <c r="I27" s="22" t="n"/>
      <c r="J27" s="22" t="n"/>
      <c r="K27" s="23" t="n"/>
      <c r="L27" s="23" t="n"/>
    </row>
    <row r="28" ht="25.5" customHeight="1" s="45">
      <c r="A28" s="27" t="n"/>
      <c r="B28" s="28" t="n"/>
      <c r="C28" s="28" t="n"/>
      <c r="D28" s="28" t="n"/>
      <c r="E28" s="28" t="n"/>
      <c r="F28" s="28" t="n"/>
      <c r="G28" s="28" t="n"/>
      <c r="H28" s="27" t="n"/>
      <c r="I28" s="27" t="n"/>
      <c r="J28" s="27" t="n"/>
      <c r="K28" s="28" t="n"/>
      <c r="L28" s="28" t="n"/>
    </row>
    <row r="29" ht="25.5" customHeight="1" s="45">
      <c r="A29" s="22" t="n"/>
      <c r="B29" s="23" t="n"/>
      <c r="C29" s="23" t="n"/>
      <c r="D29" s="23" t="n"/>
      <c r="E29" s="23" t="n"/>
      <c r="F29" s="23" t="n"/>
      <c r="G29" s="23" t="n"/>
      <c r="H29" s="22" t="n"/>
      <c r="I29" s="22" t="n"/>
      <c r="J29" s="22" t="n"/>
      <c r="K29" s="23" t="n"/>
      <c r="L29" s="23" t="n"/>
    </row>
    <row r="30" ht="25.5" customHeight="1" s="45">
      <c r="A30" s="27" t="n"/>
      <c r="B30" s="28" t="n"/>
      <c r="C30" s="28" t="n"/>
      <c r="D30" s="28" t="n"/>
      <c r="E30" s="28" t="n"/>
      <c r="F30" s="28" t="n"/>
      <c r="G30" s="28" t="n"/>
      <c r="H30" s="27" t="n"/>
      <c r="I30" s="27" t="n"/>
      <c r="J30" s="27" t="n"/>
      <c r="K30" s="28" t="n"/>
      <c r="L30" s="28" t="n"/>
    </row>
    <row r="31" ht="25.5" customHeight="1" s="45">
      <c r="A31" s="22" t="n"/>
      <c r="B31" s="23" t="n"/>
      <c r="C31" s="23" t="n"/>
      <c r="D31" s="23" t="n"/>
      <c r="E31" s="23" t="n"/>
      <c r="F31" s="23" t="n"/>
      <c r="G31" s="23" t="n"/>
      <c r="H31" s="22" t="n"/>
      <c r="I31" s="22" t="n"/>
      <c r="J31" s="22" t="n"/>
      <c r="K31" s="23" t="n"/>
      <c r="L31" s="23" t="n"/>
    </row>
    <row r="32" ht="25.5" customHeight="1" s="45">
      <c r="A32" s="27" t="n"/>
      <c r="B32" s="28" t="n"/>
      <c r="C32" s="28" t="n"/>
      <c r="D32" s="28" t="n"/>
      <c r="E32" s="28" t="n"/>
      <c r="F32" s="28" t="n"/>
      <c r="G32" s="28" t="n"/>
      <c r="H32" s="27" t="n"/>
      <c r="I32" s="27" t="n"/>
      <c r="J32" s="27" t="n"/>
      <c r="K32" s="28" t="n"/>
      <c r="L32" s="28" t="n"/>
    </row>
    <row r="33" ht="25.5" customHeight="1" s="45">
      <c r="A33" s="22" t="n"/>
      <c r="B33" s="23" t="n"/>
      <c r="C33" s="23" t="n"/>
      <c r="D33" s="23" t="n"/>
      <c r="E33" s="23" t="n"/>
      <c r="F33" s="23" t="n"/>
      <c r="G33" s="23" t="n"/>
      <c r="H33" s="22" t="n"/>
      <c r="I33" s="22" t="n"/>
      <c r="J33" s="22" t="n"/>
      <c r="K33" s="23" t="n"/>
      <c r="L33" s="23" t="n"/>
    </row>
    <row r="34" ht="25.5" customHeight="1" s="45">
      <c r="A34" s="27" t="n"/>
      <c r="B34" s="28" t="n"/>
      <c r="C34" s="28" t="n"/>
      <c r="D34" s="28" t="n"/>
      <c r="E34" s="28" t="n"/>
      <c r="F34" s="28" t="n"/>
      <c r="G34" s="28" t="n"/>
      <c r="H34" s="27" t="n"/>
      <c r="I34" s="27" t="n"/>
      <c r="J34" s="27" t="n"/>
      <c r="K34" s="28" t="n"/>
      <c r="L34" s="28" t="n"/>
    </row>
    <row r="35" ht="25.5" customHeight="1" s="45">
      <c r="A35" s="22" t="n"/>
      <c r="B35" s="23" t="n"/>
      <c r="C35" s="23" t="n"/>
      <c r="D35" s="23" t="n"/>
      <c r="E35" s="23" t="n"/>
      <c r="F35" s="23" t="n"/>
      <c r="G35" s="23" t="n"/>
      <c r="H35" s="22" t="n"/>
      <c r="I35" s="22" t="n"/>
      <c r="J35" s="22" t="n"/>
      <c r="K35" s="23" t="n"/>
      <c r="L35" s="23" t="n"/>
    </row>
    <row r="36" ht="25.5" customHeight="1" s="45">
      <c r="A36" s="27" t="n"/>
      <c r="B36" s="28" t="n"/>
      <c r="C36" s="28" t="n"/>
      <c r="D36" s="28" t="n"/>
      <c r="E36" s="28" t="n"/>
      <c r="F36" s="28" t="n"/>
      <c r="G36" s="28" t="n"/>
      <c r="H36" s="27" t="n"/>
      <c r="I36" s="27" t="n"/>
      <c r="J36" s="27" t="n"/>
      <c r="K36" s="28" t="n"/>
      <c r="L36" s="28" t="n"/>
    </row>
    <row r="37" ht="25.5" customHeight="1" s="45">
      <c r="A37" s="22" t="n"/>
      <c r="B37" s="23" t="n"/>
      <c r="C37" s="23" t="n"/>
      <c r="D37" s="23" t="n"/>
      <c r="E37" s="23" t="n"/>
      <c r="F37" s="23" t="n"/>
      <c r="G37" s="23" t="n"/>
      <c r="H37" s="22" t="n"/>
      <c r="I37" s="22" t="n"/>
      <c r="J37" s="22" t="n"/>
      <c r="K37" s="23" t="n"/>
      <c r="L37" s="23" t="n"/>
    </row>
    <row r="38" ht="25.5" customHeight="1" s="45">
      <c r="A38" s="27" t="n"/>
      <c r="B38" s="28" t="n"/>
      <c r="C38" s="28" t="n"/>
      <c r="D38" s="28" t="n"/>
      <c r="E38" s="28" t="n"/>
      <c r="F38" s="28" t="n"/>
      <c r="G38" s="28" t="n"/>
      <c r="H38" s="27" t="n"/>
      <c r="I38" s="27" t="n"/>
      <c r="J38" s="27" t="n"/>
      <c r="K38" s="28" t="n"/>
      <c r="L38" s="28" t="n"/>
    </row>
    <row r="39" ht="25.5" customHeight="1" s="45">
      <c r="A39" s="22" t="n"/>
      <c r="B39" s="23" t="n"/>
      <c r="C39" s="23" t="n"/>
      <c r="D39" s="23" t="n"/>
      <c r="E39" s="23" t="n"/>
      <c r="F39" s="23" t="n"/>
      <c r="G39" s="23" t="n"/>
      <c r="H39" s="22" t="n"/>
      <c r="I39" s="22" t="n"/>
      <c r="J39" s="22" t="n"/>
      <c r="K39" s="23" t="n"/>
      <c r="L39" s="23" t="n"/>
    </row>
    <row r="40" ht="25.5" customHeight="1" s="45">
      <c r="A40" s="27" t="n"/>
      <c r="B40" s="28" t="n"/>
      <c r="C40" s="28" t="n"/>
      <c r="D40" s="28" t="n"/>
      <c r="E40" s="28" t="n"/>
      <c r="F40" s="28" t="n"/>
      <c r="G40" s="28" t="n"/>
      <c r="H40" s="27" t="n"/>
      <c r="I40" s="27" t="n"/>
      <c r="J40" s="27" t="n"/>
      <c r="K40" s="28" t="n"/>
      <c r="L40" s="28" t="n"/>
    </row>
    <row r="41" ht="25.5" customHeight="1" s="45">
      <c r="A41" s="22" t="n"/>
      <c r="B41" s="23" t="n"/>
      <c r="C41" s="23" t="n"/>
      <c r="D41" s="23" t="n"/>
      <c r="E41" s="23" t="n"/>
      <c r="F41" s="23" t="n"/>
      <c r="G41" s="23" t="n"/>
      <c r="H41" s="22" t="n"/>
      <c r="I41" s="22" t="n"/>
      <c r="J41" s="22" t="n"/>
      <c r="K41" s="23" t="n"/>
      <c r="L41" s="23" t="n"/>
    </row>
    <row r="42" ht="25.5" customHeight="1" s="45">
      <c r="A42" s="27" t="n"/>
      <c r="B42" s="28" t="n"/>
      <c r="C42" s="28" t="n"/>
      <c r="D42" s="28" t="n"/>
      <c r="E42" s="28" t="n"/>
      <c r="F42" s="28" t="n"/>
      <c r="G42" s="28" t="n"/>
      <c r="H42" s="27" t="n"/>
      <c r="I42" s="27" t="n"/>
      <c r="J42" s="27" t="n"/>
      <c r="K42" s="28" t="n"/>
      <c r="L42" s="28" t="n"/>
    </row>
    <row r="43" ht="15.75" customHeight="1" s="45">
      <c r="I43" s="40" t="n"/>
      <c r="J43" s="40" t="n"/>
    </row>
    <row r="44" ht="15.75" customHeight="1" s="45">
      <c r="I44" s="40" t="n"/>
      <c r="J44" s="40" t="n"/>
    </row>
    <row r="45" ht="15.75" customHeight="1" s="45">
      <c r="I45" s="40" t="n"/>
      <c r="J45" s="40" t="n"/>
    </row>
    <row r="46" ht="15.75" customHeight="1" s="45">
      <c r="I46" s="40" t="n"/>
      <c r="J46" s="40" t="n"/>
    </row>
    <row r="47" ht="15.75" customHeight="1" s="45">
      <c r="I47" s="40" t="n"/>
      <c r="J47" s="40" t="n"/>
    </row>
    <row r="48" ht="15.75" customHeight="1" s="45">
      <c r="I48" s="40" t="n"/>
      <c r="J48" s="40" t="n"/>
    </row>
    <row r="49" ht="15.75" customHeight="1" s="45">
      <c r="I49" s="40" t="n"/>
      <c r="J49" s="40" t="n"/>
    </row>
    <row r="50" ht="15.75" customHeight="1" s="45">
      <c r="I50" s="40" t="n"/>
      <c r="J50" s="40" t="n"/>
    </row>
    <row r="51" ht="15.75" customHeight="1" s="45">
      <c r="I51" s="40" t="n"/>
      <c r="J51" s="40" t="n"/>
    </row>
    <row r="52" ht="15.75" customHeight="1" s="45">
      <c r="I52" s="40" t="n"/>
      <c r="J52" s="40" t="n"/>
    </row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9">
    <mergeCell ref="A4:B4"/>
    <mergeCell ref="F4:G4"/>
    <mergeCell ref="D5:E5"/>
    <mergeCell ref="A1:L2"/>
    <mergeCell ref="G5:H5"/>
    <mergeCell ref="C4:E4"/>
    <mergeCell ref="K5:L5"/>
    <mergeCell ref="A5:B5"/>
    <mergeCell ref="H4:L4"/>
  </mergeCells>
  <conditionalFormatting sqref="I8:I42">
    <cfRule type="cellIs" priority="1" operator="equal" dxfId="0">
      <formula>"Exitoso"</formula>
    </cfRule>
    <cfRule type="cellIs" priority="2" operator="equal" dxfId="1">
      <formula>"Falló"</formula>
    </cfRule>
    <cfRule type="cellIs" priority="3" operator="equal" dxfId="2">
      <formula>"Pendiente"</formula>
    </cfRule>
    <cfRule type="cellIs" priority="4" operator="equal" dxfId="2">
      <formula>"Bloqueado"</formula>
    </cfRule>
  </conditionalFormatting>
  <dataValidations count="2">
    <dataValidation sqref="J8:J52" showDropDown="0" showInputMessage="0" showErrorMessage="0" allowBlank="1" type="list">
      <formula1>"Alta,Media,Baja"</formula1>
    </dataValidation>
    <dataValidation sqref="I8:I52" showDropDown="0" showInputMessage="0" showErrorMessage="0" allowBlank="1" type="list">
      <formula1>"Exitoso,Falló,Bloqueado,Pendiente"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12" customWidth="1" style="45" min="1" max="1"/>
    <col width="34" customWidth="1" style="45" min="2" max="2"/>
    <col width="32" customWidth="1" style="45" min="3" max="3"/>
    <col width="36" customWidth="1" style="45" min="4" max="4"/>
    <col width="40" customWidth="1" style="45" min="5" max="7"/>
    <col width="40" customWidth="1" style="45" min="6" max="6"/>
    <col width="36" customWidth="1" style="45" min="7" max="7"/>
    <col width="24" customWidth="1" style="45" min="8" max="8"/>
    <col width="12" customWidth="1" style="45" min="9" max="10"/>
    <col width="11" customWidth="1" style="45" min="10" max="10"/>
    <col width="36" customWidth="1" style="45" min="11" max="11"/>
    <col width="34" customWidth="1" style="45" min="12" max="12"/>
    <col width="8.710000000000001" customWidth="1" style="45" min="13" max="26"/>
  </cols>
  <sheetData>
    <row r="1" ht="21.75" customHeight="1" s="45">
      <c r="A1" s="46" t="inlineStr">
        <is>
          <t>SENA - SIGA | PROCEDIMIENTO GESTIÓN DE SISTEMAS DE INFORMACIÓN
MATRIZ DE DISEÑO Y EJECUCIÓN: PRUEBAS END-TO-END E2E (CAJA NEGRA / FORMATO SIGA-SENA)</t>
        </is>
      </c>
    </row>
    <row r="2" ht="21.75" customHeight="1" s="45"/>
    <row r="4" ht="24" customHeight="1" s="45">
      <c r="A4" s="15" t="inlineStr">
        <is>
          <t>Nivel de Prueba:</t>
        </is>
      </c>
      <c r="B4" s="48" t="n"/>
      <c r="C4" s="57" t="inlineStr">
        <is>
          <t>Nivel 3: Pruebas de Sistema y E2E (End-to-End Testing)</t>
        </is>
      </c>
      <c r="D4" s="49" t="n"/>
      <c r="E4" s="48" t="n"/>
      <c r="F4" s="15" t="inlineStr">
        <is>
          <t>Enfoque Teórico / Norma:</t>
        </is>
      </c>
      <c r="G4" s="48" t="n"/>
      <c r="H4" s="59" t="inlineStr">
        <is>
          <t>Basado en el Formato Plantilla SIGA de Prueba Funcional y/o Técnica SENA: Simulación de la experiencia del usuario final en entorno real.</t>
        </is>
      </c>
      <c r="I4" s="49" t="n"/>
      <c r="J4" s="49" t="n"/>
      <c r="K4" s="49" t="n"/>
      <c r="L4" s="48" t="n"/>
    </row>
    <row r="5" ht="19.5" customHeight="1" s="45">
      <c r="A5" s="15" t="inlineStr">
        <is>
          <t>Total Ejecutadas:</t>
        </is>
      </c>
      <c r="B5" s="48" t="n"/>
      <c r="C5" s="14">
        <f>COUNTA(A8:A42)</f>
        <v/>
      </c>
      <c r="D5" s="15" t="inlineStr">
        <is>
          <t>Exitosas (Aprobadas):</t>
        </is>
      </c>
      <c r="E5" s="48" t="n"/>
      <c r="F5" s="14">
        <f>COUNTIF(I8:I42,"Exitoso")</f>
        <v/>
      </c>
      <c r="G5" s="15" t="inlineStr">
        <is>
          <t>Fallidas (Defectos):</t>
        </is>
      </c>
      <c r="H5" s="48" t="n"/>
      <c r="I5" s="14">
        <f>COUNTIF(I8:I42,"Falló")</f>
        <v/>
      </c>
      <c r="J5" s="15" t="inlineStr">
        <is>
          <t>Tasa de Éxito:</t>
        </is>
      </c>
      <c r="K5" s="60">
        <f>IF(C5&gt;0, F5/C5, 0)</f>
        <v/>
      </c>
      <c r="L5" s="48" t="n"/>
    </row>
    <row r="7" ht="27.75" customHeight="1" s="45">
      <c r="A7" s="20" t="inlineStr">
        <is>
          <t>ID Caso</t>
        </is>
      </c>
      <c r="B7" s="20" t="inlineStr">
        <is>
          <t>Componente / Escenario Probado</t>
        </is>
      </c>
      <c r="C7" s="20" t="inlineStr">
        <is>
          <t>Precondiciones / Configuración</t>
        </is>
      </c>
      <c r="D7" s="20" t="inlineStr">
        <is>
          <t>Datos de Entrada (Arrange)</t>
        </is>
      </c>
      <c r="E7" s="20" t="inlineStr">
        <is>
          <t>Pasos de Ejecución (Act)</t>
        </is>
      </c>
      <c r="F7" s="20" t="inlineStr">
        <is>
          <t>Resultado Esperado (Assert / Oráculo)</t>
        </is>
      </c>
      <c r="G7" s="20" t="inlineStr">
        <is>
          <t>Resultado Obtenido en Ejecución</t>
        </is>
      </c>
      <c r="H7" s="20" t="inlineStr">
        <is>
          <t>Tipo / Técnica</t>
        </is>
      </c>
      <c r="I7" s="20" t="inlineStr">
        <is>
          <t>Estado</t>
        </is>
      </c>
      <c r="J7" s="20" t="inlineStr">
        <is>
          <t>Severidad / Prioridad</t>
        </is>
      </c>
      <c r="K7" s="20" t="inlineStr">
        <is>
          <t>Evidencia (URL / Test Pass / Log)</t>
        </is>
      </c>
      <c r="L7" s="20" t="inlineStr">
        <is>
          <t>Observaciones / Defecto Asociado</t>
        </is>
      </c>
    </row>
    <row r="8" ht="165" customHeight="1" s="45">
      <c r="A8" s="61" t="inlineStr">
        <is>
          <t>E2E-01</t>
        </is>
      </c>
      <c r="B8" s="62" t="inlineStr">
        <is>
          <t>Cliente: login, agendar cita y verla en "Mis citas"</t>
        </is>
      </c>
      <c r="C8" s="62" t="inlineStr">
        <is>
          <t>Backend en localhost:5001 y frontend en localhost:5173; BD plomapp_e2e sembrada; cliente, servicio y técnico activos; fecha futura hábil.</t>
        </is>
      </c>
      <c r="D8" s="62" t="inlineStr">
        <is>
          <t>Cliente: cliente.e2e@plomaap.com / PlomApp2026*
Servicio: Fugas de agua
Fecha: 2026-11-02
Hora: 09:00
Dirección: Calle 1 #2-3</t>
        </is>
      </c>
      <c r="E8" s="62" t="inlineStr">
        <is>
          <t>1. Abrir /ingresar/cliente e iniciar sesión.
2. En /cliente, clic en "Agendar".
3. Seleccionar servicio, fecha 2026-11-02, hora 09:00 y dirección.
4. Confirmar la cita.
5. Ir a "Mis citas" y verificar la tarjeta.</t>
        </is>
      </c>
      <c r="F8" s="62" t="inlineStr">
        <is>
          <t>Redirección al dashboard; mensaje de confirmación con técnico; cita visible con fecha, hora y estado; registro en BD.</t>
        </is>
      </c>
      <c r="G8" s="62" t="inlineStr">
        <is>
          <t>No ejecutado aún (fase de diseño).</t>
        </is>
      </c>
      <c r="H8" s="61" t="inlineStr">
        <is>
          <t>Caja Negra (E2E / flujo de usuario)</t>
        </is>
      </c>
      <c r="I8" s="61" t="inlineStr">
        <is>
          <t>Pendiente</t>
        </is>
      </c>
      <c r="J8" s="61" t="inlineStr">
        <is>
          <t>Alta</t>
        </is>
      </c>
      <c r="K8" s="63" t="inlineStr">
        <is>
          <t>Planificado: e2e/tests/client.spec.js (Playwright + trace/video)</t>
        </is>
      </c>
      <c r="L8" s="62" t="inlineStr">
        <is>
          <t>Agregar data-testid a login, agendar y tarjeta de cita; manejar alert() de sesión.</t>
        </is>
      </c>
    </row>
    <row r="9" ht="165" customHeight="1" s="45">
      <c r="A9" s="61" t="inlineStr">
        <is>
          <t>E2E-02</t>
        </is>
      </c>
      <c r="B9" s="62" t="inlineStr">
        <is>
          <t>Técnico: login, agenda del día y cambio de estado de una cita</t>
        </is>
      </c>
      <c r="C9" s="62" t="inlineStr">
        <is>
          <t>Cita asignada al técnico en estado scheduled; técnico activo; backend/frontend levantados; BD e2e.</t>
        </is>
      </c>
      <c r="D9" s="62" t="inlineStr">
        <is>
          <t>Técnico: tecnico.e2e@plomaap.com / PlomApp2026*
Cita: 2026-11-02 09:00
Nuevo estado: in_progress y luego completed</t>
        </is>
      </c>
      <c r="E9" s="62" t="inlineStr">
        <is>
          <t>1. Abrir /ingresar/tecnico e iniciar sesión.
2. En /tecnico, abrir la agenda y localizar la cita.
3. Cambiar estado a "En progreso" y guardar.
4. Cambiar a "Completado" y guardar.
5. Recargar y verificar persistencia.</t>
        </is>
      </c>
      <c r="F9" s="62" t="inlineStr">
        <is>
          <t>Cita visible; estados válidos aplicados; transición scheduled-&gt;in_progress-&gt;completed; UI y BD consistentes tras recargar.</t>
        </is>
      </c>
      <c r="G9" s="62" t="inlineStr">
        <is>
          <t>No ejecutado aún (fase de diseño).</t>
        </is>
      </c>
      <c r="H9" s="61" t="inlineStr">
        <is>
          <t>Caja Negra (E2E / flujo de usuario)</t>
        </is>
      </c>
      <c r="I9" s="61" t="inlineStr">
        <is>
          <t>Pendiente</t>
        </is>
      </c>
      <c r="J9" s="61" t="inlineStr">
        <is>
          <t>Alta</t>
        </is>
      </c>
      <c r="K9" s="63" t="inlineStr">
        <is>
          <t>Planificado: e2e/tests/technician.spec.js</t>
        </is>
      </c>
      <c r="L9" s="62" t="inlineStr">
        <is>
          <t>Validar que no se permita completed-&gt;scheduled; usar datos sembrados deterministas.</t>
        </is>
      </c>
    </row>
    <row r="10" ht="165" customHeight="1" s="45">
      <c r="A10" s="61" t="inlineStr">
        <is>
          <t>E2E-03</t>
        </is>
      </c>
      <c r="B10" s="62" t="inlineStr">
        <is>
          <t>Administrador: login, dashboard y gestión de una cita</t>
        </is>
      </c>
      <c r="C10" s="62" t="inlineStr">
        <is>
          <t>Usuario admin activo; citas y usuarios de prueba; backend/frontend levantados; BD e2e.</t>
        </is>
      </c>
      <c r="D10" s="62" t="inlineStr">
        <is>
          <t>Admin: admin.e2e@plomaap.com / PlomApp2026*
Cita: 2026-11-02 09:00
Nuevo estado: scheduled o cancelled</t>
        </is>
      </c>
      <c r="E10" s="62" t="inlineStr">
        <is>
          <t>1. Abrir /admin e iniciar sesión.
2. En /admin/panel, verificar métricas del dashboard.
3. Abrir la cita y cambiar su estado.
4. Guardar y recargar.
5. Verificar que las métricas se actualicen.</t>
        </is>
      </c>
      <c r="F10" s="62" t="inlineStr">
        <is>
          <t>Login admin correcto; dashboard con métricas; cambio de estado persistido; métricas coherentes; sin errores 500.</t>
        </is>
      </c>
      <c r="G10" s="62" t="inlineStr">
        <is>
          <t>No ejecutado aún (fase de diseño).</t>
        </is>
      </c>
      <c r="H10" s="61" t="inlineStr">
        <is>
          <t>Caja Negra (E2E / flujo administrativo)</t>
        </is>
      </c>
      <c r="I10" s="61" t="inlineStr">
        <is>
          <t>Pendiente</t>
        </is>
      </c>
      <c r="J10" s="61" t="inlineStr">
        <is>
          <t>Alta</t>
        </is>
      </c>
      <c r="K10" s="63" t="inlineStr">
        <is>
          <t>Planificado: e2e/tests/admin.spec.js</t>
        </is>
      </c>
      <c r="L10" s="62" t="inlineStr">
        <is>
          <t>Usar un admin de pruebas; no ejecutar contra la BD real.</t>
        </is>
      </c>
    </row>
    <row r="11" ht="25.5" customHeight="1" s="45">
      <c r="A11" s="22" t="n"/>
      <c r="B11" s="23" t="n"/>
      <c r="C11" s="23" t="n"/>
      <c r="D11" s="23" t="n"/>
      <c r="E11" s="23" t="n"/>
      <c r="F11" s="23" t="n"/>
      <c r="G11" s="23" t="n"/>
      <c r="H11" s="22" t="n"/>
      <c r="I11" s="22" t="n"/>
      <c r="J11" s="22" t="n"/>
      <c r="K11" s="23" t="n"/>
      <c r="L11" s="23" t="n"/>
    </row>
    <row r="12" ht="25.5" customHeight="1" s="45">
      <c r="A12" s="27" t="n"/>
      <c r="B12" s="28" t="n"/>
      <c r="C12" s="28" t="n"/>
      <c r="D12" s="28" t="n"/>
      <c r="E12" s="28" t="n"/>
      <c r="F12" s="28" t="n"/>
      <c r="G12" s="28" t="n"/>
      <c r="H12" s="27" t="n"/>
      <c r="I12" s="27" t="n"/>
      <c r="J12" s="27" t="n"/>
      <c r="K12" s="28" t="n"/>
      <c r="L12" s="28" t="n"/>
    </row>
    <row r="13" ht="25.5" customHeight="1" s="45">
      <c r="A13" s="22" t="n"/>
      <c r="B13" s="23" t="n"/>
      <c r="C13" s="23" t="n"/>
      <c r="D13" s="23" t="n"/>
      <c r="E13" s="23" t="n"/>
      <c r="F13" s="23" t="n"/>
      <c r="G13" s="23" t="n"/>
      <c r="H13" s="22" t="n"/>
      <c r="I13" s="22" t="n"/>
      <c r="J13" s="22" t="n"/>
      <c r="K13" s="23" t="n"/>
      <c r="L13" s="23" t="n"/>
    </row>
    <row r="14" ht="25.5" customHeight="1" s="45">
      <c r="A14" s="27" t="n"/>
      <c r="B14" s="28" t="n"/>
      <c r="C14" s="28" t="n"/>
      <c r="D14" s="28" t="n"/>
      <c r="E14" s="28" t="n"/>
      <c r="F14" s="28" t="n"/>
      <c r="G14" s="28" t="n"/>
      <c r="H14" s="27" t="n"/>
      <c r="I14" s="27" t="n"/>
      <c r="J14" s="27" t="n"/>
      <c r="K14" s="28" t="n"/>
      <c r="L14" s="28" t="n"/>
    </row>
    <row r="15" ht="25.5" customHeight="1" s="45">
      <c r="A15" s="22" t="n"/>
      <c r="B15" s="23" t="n"/>
      <c r="C15" s="23" t="n"/>
      <c r="D15" s="23" t="n"/>
      <c r="E15" s="23" t="n"/>
      <c r="F15" s="23" t="n"/>
      <c r="G15" s="23" t="n"/>
      <c r="H15" s="22" t="n"/>
      <c r="I15" s="22" t="n"/>
      <c r="J15" s="22" t="n"/>
      <c r="K15" s="23" t="n"/>
      <c r="L15" s="23" t="n"/>
    </row>
    <row r="16" ht="25.5" customHeight="1" s="45">
      <c r="A16" s="27" t="n"/>
      <c r="B16" s="28" t="n"/>
      <c r="C16" s="28" t="n"/>
      <c r="D16" s="28" t="n"/>
      <c r="E16" s="28" t="n"/>
      <c r="F16" s="28" t="n"/>
      <c r="G16" s="28" t="n"/>
      <c r="H16" s="27" t="n"/>
      <c r="I16" s="27" t="n"/>
      <c r="J16" s="27" t="n"/>
      <c r="K16" s="28" t="n"/>
      <c r="L16" s="28" t="n"/>
    </row>
    <row r="17" ht="25.5" customHeight="1" s="45">
      <c r="A17" s="22" t="n"/>
      <c r="B17" s="23" t="n"/>
      <c r="C17" s="23" t="n"/>
      <c r="D17" s="23" t="n"/>
      <c r="E17" s="23" t="n"/>
      <c r="F17" s="23" t="n"/>
      <c r="G17" s="23" t="n"/>
      <c r="H17" s="22" t="n"/>
      <c r="I17" s="22" t="n"/>
      <c r="J17" s="22" t="n"/>
      <c r="K17" s="23" t="n"/>
      <c r="L17" s="23" t="n"/>
    </row>
    <row r="18" ht="25.5" customHeight="1" s="45">
      <c r="A18" s="27" t="n"/>
      <c r="B18" s="28" t="n"/>
      <c r="C18" s="28" t="n"/>
      <c r="D18" s="28" t="n"/>
      <c r="E18" s="28" t="n"/>
      <c r="F18" s="28" t="n"/>
      <c r="G18" s="28" t="n"/>
      <c r="H18" s="27" t="n"/>
      <c r="I18" s="27" t="n"/>
      <c r="J18" s="27" t="n"/>
      <c r="K18" s="28" t="n"/>
      <c r="L18" s="28" t="n"/>
    </row>
    <row r="19" ht="25.5" customHeight="1" s="45">
      <c r="A19" s="22" t="n"/>
      <c r="B19" s="23" t="n"/>
      <c r="C19" s="23" t="n"/>
      <c r="D19" s="23" t="n"/>
      <c r="E19" s="23" t="n"/>
      <c r="F19" s="23" t="n"/>
      <c r="G19" s="23" t="n"/>
      <c r="H19" s="22" t="n"/>
      <c r="I19" s="22" t="n"/>
      <c r="J19" s="22" t="n"/>
      <c r="K19" s="23" t="n"/>
      <c r="L19" s="23" t="n"/>
    </row>
    <row r="20" ht="25.5" customHeight="1" s="45">
      <c r="A20" s="27" t="n"/>
      <c r="B20" s="28" t="n"/>
      <c r="C20" s="28" t="n"/>
      <c r="D20" s="28" t="n"/>
      <c r="E20" s="28" t="n"/>
      <c r="F20" s="28" t="n"/>
      <c r="G20" s="28" t="n"/>
      <c r="H20" s="27" t="n"/>
      <c r="I20" s="27" t="n"/>
      <c r="J20" s="27" t="n"/>
      <c r="K20" s="28" t="n"/>
      <c r="L20" s="28" t="n"/>
    </row>
    <row r="21" ht="25.5" customHeight="1" s="45">
      <c r="A21" s="22" t="n"/>
      <c r="B21" s="23" t="n"/>
      <c r="C21" s="23" t="n"/>
      <c r="D21" s="23" t="n"/>
      <c r="E21" s="23" t="n"/>
      <c r="F21" s="23" t="n"/>
      <c r="G21" s="23" t="n"/>
      <c r="H21" s="22" t="n"/>
      <c r="I21" s="22" t="n"/>
      <c r="J21" s="22" t="n"/>
      <c r="K21" s="23" t="n"/>
      <c r="L21" s="23" t="n"/>
    </row>
    <row r="22" ht="25.5" customHeight="1" s="45">
      <c r="A22" s="27" t="n"/>
      <c r="B22" s="28" t="n"/>
      <c r="C22" s="28" t="n"/>
      <c r="D22" s="28" t="n"/>
      <c r="E22" s="28" t="n"/>
      <c r="F22" s="28" t="n"/>
      <c r="G22" s="28" t="n"/>
      <c r="H22" s="27" t="n"/>
      <c r="I22" s="27" t="n"/>
      <c r="J22" s="27" t="n"/>
      <c r="K22" s="28" t="n"/>
      <c r="L22" s="28" t="n"/>
    </row>
    <row r="23" ht="25.5" customHeight="1" s="45">
      <c r="A23" s="22" t="n"/>
      <c r="B23" s="23" t="n"/>
      <c r="C23" s="23" t="n"/>
      <c r="D23" s="23" t="n"/>
      <c r="E23" s="23" t="n"/>
      <c r="F23" s="23" t="n"/>
      <c r="G23" s="23" t="n"/>
      <c r="H23" s="22" t="n"/>
      <c r="I23" s="22" t="n"/>
      <c r="J23" s="22" t="n"/>
      <c r="K23" s="23" t="n"/>
      <c r="L23" s="23" t="n"/>
    </row>
    <row r="24" ht="25.5" customHeight="1" s="45">
      <c r="A24" s="27" t="n"/>
      <c r="B24" s="28" t="n"/>
      <c r="C24" s="28" t="n"/>
      <c r="D24" s="28" t="n"/>
      <c r="E24" s="28" t="n"/>
      <c r="F24" s="28" t="n"/>
      <c r="G24" s="28" t="n"/>
      <c r="H24" s="27" t="n"/>
      <c r="I24" s="27" t="n"/>
      <c r="J24" s="27" t="n"/>
      <c r="K24" s="28" t="n"/>
      <c r="L24" s="28" t="n"/>
    </row>
    <row r="25" ht="25.5" customHeight="1" s="45">
      <c r="A25" s="22" t="n"/>
      <c r="B25" s="23" t="n"/>
      <c r="C25" s="23" t="n"/>
      <c r="D25" s="23" t="n"/>
      <c r="E25" s="23" t="n"/>
      <c r="F25" s="23" t="n"/>
      <c r="G25" s="23" t="n"/>
      <c r="H25" s="22" t="n"/>
      <c r="I25" s="22" t="n"/>
      <c r="J25" s="22" t="n"/>
      <c r="K25" s="23" t="n"/>
      <c r="L25" s="23" t="n"/>
    </row>
    <row r="26" ht="25.5" customHeight="1" s="45">
      <c r="A26" s="27" t="n"/>
      <c r="B26" s="28" t="n"/>
      <c r="C26" s="28" t="n"/>
      <c r="D26" s="28" t="n"/>
      <c r="E26" s="28" t="n"/>
      <c r="F26" s="28" t="n"/>
      <c r="G26" s="28" t="n"/>
      <c r="H26" s="27" t="n"/>
      <c r="I26" s="27" t="n"/>
      <c r="J26" s="27" t="n"/>
      <c r="K26" s="28" t="n"/>
      <c r="L26" s="28" t="n"/>
    </row>
    <row r="27" ht="25.5" customHeight="1" s="45">
      <c r="A27" s="22" t="n"/>
      <c r="B27" s="23" t="n"/>
      <c r="C27" s="23" t="n"/>
      <c r="D27" s="23" t="n"/>
      <c r="E27" s="23" t="n"/>
      <c r="F27" s="23" t="n"/>
      <c r="G27" s="23" t="n"/>
      <c r="H27" s="22" t="n"/>
      <c r="I27" s="22" t="n"/>
      <c r="J27" s="22" t="n"/>
      <c r="K27" s="23" t="n"/>
      <c r="L27" s="23" t="n"/>
    </row>
    <row r="28" ht="25.5" customHeight="1" s="45">
      <c r="A28" s="27" t="n"/>
      <c r="B28" s="28" t="n"/>
      <c r="C28" s="28" t="n"/>
      <c r="D28" s="28" t="n"/>
      <c r="E28" s="28" t="n"/>
      <c r="F28" s="28" t="n"/>
      <c r="G28" s="28" t="n"/>
      <c r="H28" s="27" t="n"/>
      <c r="I28" s="27" t="n"/>
      <c r="J28" s="27" t="n"/>
      <c r="K28" s="28" t="n"/>
      <c r="L28" s="28" t="n"/>
    </row>
    <row r="29" ht="25.5" customHeight="1" s="45">
      <c r="A29" s="22" t="n"/>
      <c r="B29" s="23" t="n"/>
      <c r="C29" s="23" t="n"/>
      <c r="D29" s="23" t="n"/>
      <c r="E29" s="23" t="n"/>
      <c r="F29" s="23" t="n"/>
      <c r="G29" s="23" t="n"/>
      <c r="H29" s="22" t="n"/>
      <c r="I29" s="22" t="n"/>
      <c r="J29" s="22" t="n"/>
      <c r="K29" s="23" t="n"/>
      <c r="L29" s="23" t="n"/>
    </row>
    <row r="30" ht="25.5" customHeight="1" s="45">
      <c r="A30" s="27" t="n"/>
      <c r="B30" s="28" t="n"/>
      <c r="C30" s="28" t="n"/>
      <c r="D30" s="28" t="n"/>
      <c r="E30" s="28" t="n"/>
      <c r="F30" s="28" t="n"/>
      <c r="G30" s="28" t="n"/>
      <c r="H30" s="27" t="n"/>
      <c r="I30" s="27" t="n"/>
      <c r="J30" s="27" t="n"/>
      <c r="K30" s="28" t="n"/>
      <c r="L30" s="28" t="n"/>
    </row>
    <row r="31" ht="25.5" customHeight="1" s="45">
      <c r="A31" s="22" t="n"/>
      <c r="B31" s="23" t="n"/>
      <c r="C31" s="23" t="n"/>
      <c r="D31" s="23" t="n"/>
      <c r="E31" s="23" t="n"/>
      <c r="F31" s="23" t="n"/>
      <c r="G31" s="23" t="n"/>
      <c r="H31" s="22" t="n"/>
      <c r="I31" s="22" t="n"/>
      <c r="J31" s="22" t="n"/>
      <c r="K31" s="23" t="n"/>
      <c r="L31" s="23" t="n"/>
    </row>
    <row r="32" ht="25.5" customHeight="1" s="45">
      <c r="A32" s="27" t="n"/>
      <c r="B32" s="28" t="n"/>
      <c r="C32" s="28" t="n"/>
      <c r="D32" s="28" t="n"/>
      <c r="E32" s="28" t="n"/>
      <c r="F32" s="28" t="n"/>
      <c r="G32" s="28" t="n"/>
      <c r="H32" s="27" t="n"/>
      <c r="I32" s="27" t="n"/>
      <c r="J32" s="27" t="n"/>
      <c r="K32" s="28" t="n"/>
      <c r="L32" s="28" t="n"/>
    </row>
    <row r="33" ht="25.5" customHeight="1" s="45">
      <c r="A33" s="22" t="n"/>
      <c r="B33" s="23" t="n"/>
      <c r="C33" s="23" t="n"/>
      <c r="D33" s="23" t="n"/>
      <c r="E33" s="23" t="n"/>
      <c r="F33" s="23" t="n"/>
      <c r="G33" s="23" t="n"/>
      <c r="H33" s="22" t="n"/>
      <c r="I33" s="22" t="n"/>
      <c r="J33" s="22" t="n"/>
      <c r="K33" s="23" t="n"/>
      <c r="L33" s="23" t="n"/>
    </row>
    <row r="34" ht="25.5" customHeight="1" s="45">
      <c r="A34" s="27" t="n"/>
      <c r="B34" s="28" t="n"/>
      <c r="C34" s="28" t="n"/>
      <c r="D34" s="28" t="n"/>
      <c r="E34" s="28" t="n"/>
      <c r="F34" s="28" t="n"/>
      <c r="G34" s="28" t="n"/>
      <c r="H34" s="27" t="n"/>
      <c r="I34" s="27" t="n"/>
      <c r="J34" s="27" t="n"/>
      <c r="K34" s="28" t="n"/>
      <c r="L34" s="28" t="n"/>
    </row>
    <row r="35" ht="25.5" customHeight="1" s="45">
      <c r="A35" s="22" t="n"/>
      <c r="B35" s="23" t="n"/>
      <c r="C35" s="23" t="n"/>
      <c r="D35" s="23" t="n"/>
      <c r="E35" s="23" t="n"/>
      <c r="F35" s="23" t="n"/>
      <c r="G35" s="23" t="n"/>
      <c r="H35" s="22" t="n"/>
      <c r="I35" s="22" t="n"/>
      <c r="J35" s="22" t="n"/>
      <c r="K35" s="23" t="n"/>
      <c r="L35" s="23" t="n"/>
    </row>
    <row r="36" ht="25.5" customHeight="1" s="45">
      <c r="A36" s="27" t="n"/>
      <c r="B36" s="28" t="n"/>
      <c r="C36" s="28" t="n"/>
      <c r="D36" s="28" t="n"/>
      <c r="E36" s="28" t="n"/>
      <c r="F36" s="28" t="n"/>
      <c r="G36" s="28" t="n"/>
      <c r="H36" s="27" t="n"/>
      <c r="I36" s="27" t="n"/>
      <c r="J36" s="27" t="n"/>
      <c r="K36" s="28" t="n"/>
      <c r="L36" s="28" t="n"/>
    </row>
    <row r="37" ht="25.5" customHeight="1" s="45">
      <c r="A37" s="22" t="n"/>
      <c r="B37" s="23" t="n"/>
      <c r="C37" s="23" t="n"/>
      <c r="D37" s="23" t="n"/>
      <c r="E37" s="23" t="n"/>
      <c r="F37" s="23" t="n"/>
      <c r="G37" s="23" t="n"/>
      <c r="H37" s="22" t="n"/>
      <c r="I37" s="22" t="n"/>
      <c r="J37" s="22" t="n"/>
      <c r="K37" s="23" t="n"/>
      <c r="L37" s="23" t="n"/>
    </row>
    <row r="38" ht="25.5" customHeight="1" s="45">
      <c r="A38" s="27" t="n"/>
      <c r="B38" s="28" t="n"/>
      <c r="C38" s="28" t="n"/>
      <c r="D38" s="28" t="n"/>
      <c r="E38" s="28" t="n"/>
      <c r="F38" s="28" t="n"/>
      <c r="G38" s="28" t="n"/>
      <c r="H38" s="27" t="n"/>
      <c r="I38" s="27" t="n"/>
      <c r="J38" s="27" t="n"/>
      <c r="K38" s="28" t="n"/>
      <c r="L38" s="28" t="n"/>
    </row>
    <row r="39" ht="25.5" customHeight="1" s="45">
      <c r="A39" s="22" t="n"/>
      <c r="B39" s="23" t="n"/>
      <c r="C39" s="23" t="n"/>
      <c r="D39" s="23" t="n"/>
      <c r="E39" s="23" t="n"/>
      <c r="F39" s="23" t="n"/>
      <c r="G39" s="23" t="n"/>
      <c r="H39" s="22" t="n"/>
      <c r="I39" s="22" t="n"/>
      <c r="J39" s="22" t="n"/>
      <c r="K39" s="23" t="n"/>
      <c r="L39" s="23" t="n"/>
    </row>
    <row r="40" ht="25.5" customHeight="1" s="45">
      <c r="A40" s="27" t="n"/>
      <c r="B40" s="28" t="n"/>
      <c r="C40" s="28" t="n"/>
      <c r="D40" s="28" t="n"/>
      <c r="E40" s="28" t="n"/>
      <c r="F40" s="28" t="n"/>
      <c r="G40" s="28" t="n"/>
      <c r="H40" s="27" t="n"/>
      <c r="I40" s="27" t="n"/>
      <c r="J40" s="27" t="n"/>
      <c r="K40" s="28" t="n"/>
      <c r="L40" s="28" t="n"/>
    </row>
    <row r="41" ht="25.5" customHeight="1" s="45">
      <c r="A41" s="22" t="n"/>
      <c r="B41" s="23" t="n"/>
      <c r="C41" s="23" t="n"/>
      <c r="D41" s="23" t="n"/>
      <c r="E41" s="23" t="n"/>
      <c r="F41" s="23" t="n"/>
      <c r="G41" s="23" t="n"/>
      <c r="H41" s="22" t="n"/>
      <c r="I41" s="22" t="n"/>
      <c r="J41" s="22" t="n"/>
      <c r="K41" s="23" t="n"/>
      <c r="L41" s="23" t="n"/>
    </row>
    <row r="42" ht="25.5" customHeight="1" s="45">
      <c r="A42" s="27" t="n"/>
      <c r="B42" s="28" t="n"/>
      <c r="C42" s="28" t="n"/>
      <c r="D42" s="28" t="n"/>
      <c r="E42" s="28" t="n"/>
      <c r="F42" s="28" t="n"/>
      <c r="G42" s="28" t="n"/>
      <c r="H42" s="27" t="n"/>
      <c r="I42" s="27" t="n"/>
      <c r="J42" s="27" t="n"/>
      <c r="K42" s="28" t="n"/>
      <c r="L42" s="28" t="n"/>
    </row>
    <row r="43" ht="15.75" customHeight="1" s="45">
      <c r="I43" s="40" t="n"/>
      <c r="J43" s="40" t="n"/>
    </row>
    <row r="44" ht="15.75" customHeight="1" s="45">
      <c r="I44" s="40" t="n"/>
      <c r="J44" s="40" t="n"/>
    </row>
    <row r="45" ht="15.75" customHeight="1" s="45">
      <c r="I45" s="40" t="n"/>
      <c r="J45" s="40" t="n"/>
    </row>
    <row r="46" ht="15.75" customHeight="1" s="45">
      <c r="I46" s="40" t="n"/>
      <c r="J46" s="40" t="n"/>
    </row>
    <row r="47" ht="15.75" customHeight="1" s="45">
      <c r="I47" s="40" t="n"/>
      <c r="J47" s="40" t="n"/>
    </row>
    <row r="48" ht="15.75" customHeight="1" s="45">
      <c r="I48" s="40" t="n"/>
      <c r="J48" s="40" t="n"/>
    </row>
    <row r="49" ht="15.75" customHeight="1" s="45">
      <c r="I49" s="40" t="n"/>
      <c r="J49" s="40" t="n"/>
    </row>
    <row r="50" ht="15.75" customHeight="1" s="45">
      <c r="I50" s="40" t="n"/>
      <c r="J50" s="40" t="n"/>
    </row>
    <row r="51" ht="15.75" customHeight="1" s="45">
      <c r="I51" s="40" t="n"/>
      <c r="J51" s="40" t="n"/>
    </row>
    <row r="52" ht="15.75" customHeight="1" s="45">
      <c r="I52" s="40" t="n"/>
      <c r="J52" s="40" t="n"/>
    </row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9">
    <mergeCell ref="A4:B4"/>
    <mergeCell ref="F4:G4"/>
    <mergeCell ref="D5:E5"/>
    <mergeCell ref="A1:L2"/>
    <mergeCell ref="G5:H5"/>
    <mergeCell ref="C4:E4"/>
    <mergeCell ref="K5:L5"/>
    <mergeCell ref="A5:B5"/>
    <mergeCell ref="H4:L4"/>
  </mergeCells>
  <conditionalFormatting sqref="I8:I42">
    <cfRule type="cellIs" priority="1" operator="equal" dxfId="0">
      <formula>"Exitoso"</formula>
    </cfRule>
    <cfRule type="cellIs" priority="2" operator="equal" dxfId="1">
      <formula>"Falló"</formula>
    </cfRule>
    <cfRule type="cellIs" priority="3" operator="equal" dxfId="2">
      <formula>"Pendiente"</formula>
    </cfRule>
    <cfRule type="cellIs" priority="4" operator="equal" dxfId="2">
      <formula>"Bloqueado"</formula>
    </cfRule>
  </conditionalFormatting>
  <dataValidations count="2">
    <dataValidation sqref="J8:J52" showDropDown="0" showInputMessage="0" showErrorMessage="0" allowBlank="1" type="list">
      <formula1>"Alta,Media,Baja"</formula1>
    </dataValidation>
    <dataValidation sqref="I8:I52" showDropDown="0" showInputMessage="0" showErrorMessage="0" allowBlank="1" type="list">
      <formula1>"Exitoso,Falló,Bloqueado,Pendiente"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45" min="1" max="6"/>
    <col width="8.710000000000001" customWidth="1" style="45" min="7" max="26"/>
  </cols>
  <sheetData>
    <row r="1" ht="21.75" customHeight="1" s="45">
      <c r="A1" s="46" t="inlineStr">
        <is>
          <t>GUÍA DIDÁCTICA: CÓMO DILIGENCIAR ESTA PLANTILLA DE PRUEBAS
Programa ADSO - Servicio Nacional de Aprendizaje (SENA)</t>
        </is>
      </c>
    </row>
    <row r="2" ht="21.75" customHeight="1" s="45"/>
    <row r="4" ht="21.75" customHeight="1" s="45">
      <c r="A4" s="64" t="inlineStr">
        <is>
          <t>1. LA PIRÁMIDE DE PRUEBAS DE SOFTWARE (NIVELES)</t>
        </is>
      </c>
    </row>
    <row r="5" ht="36" customHeight="1" s="45">
      <c r="A5" s="47" t="inlineStr">
        <is>
          <t>Nivel 1: Pruebas Unitarias (Base de la pirámide)</t>
        </is>
      </c>
      <c r="B5" s="48" t="n"/>
      <c r="C5" s="23" t="inlineStr">
        <is>
          <t>Son rápidas, automáticas y prueban funciones o clases aisladas (ej. sumarNotas o promedio). Se diseñan con Caja Blanca evaluando valores límite (0.0 y 5.0), particiones equivalentes y excepciones (división por cero). Herramientas: PyTest, Jest, PHPUnit.</t>
        </is>
      </c>
      <c r="D5" s="49" t="n"/>
      <c r="E5" s="49" t="n"/>
      <c r="F5" s="48" t="n"/>
    </row>
    <row r="6" ht="36" customHeight="1" s="45">
      <c r="A6" s="47" t="inlineStr">
        <is>
          <t>Nivel 2: Pruebas de Integración (Capa media)</t>
        </is>
      </c>
      <c r="B6" s="48" t="n"/>
      <c r="C6" s="23" t="inlineStr">
        <is>
          <t>Verifican que dos o más módulos hablen bien entre sí: API con Base de Datos, servicios de correo o autenticación JWT. Se evalúan códigos de estado HTTP (200, 201, 401, 500) y respuestas JSON. Herramientas: Postman, Supertest, Newman.</t>
        </is>
      </c>
      <c r="D6" s="49" t="n"/>
      <c r="E6" s="49" t="n"/>
      <c r="F6" s="48" t="n"/>
    </row>
    <row r="7" ht="36" customHeight="1" s="45">
      <c r="A7" s="47" t="inlineStr">
        <is>
          <t>Nivel 3: Pruebas End-to-End / E2E (Cúspide)</t>
        </is>
      </c>
      <c r="B7" s="48" t="n"/>
      <c r="C7" s="23" t="inlineStr">
        <is>
          <t>Simulan el comportamiento del usuario real en el navegador o app móvil, desde el login hasta la generación de reportes. Corresponden al formato SIGA de prueba funcional y técnica. Herramientas: Cypress, Playwright, Selenium.</t>
        </is>
      </c>
      <c r="D7" s="49" t="n"/>
      <c r="E7" s="49" t="n"/>
      <c r="F7" s="48" t="n"/>
    </row>
    <row r="9" ht="21.75" customHeight="1" s="45">
      <c r="A9" s="64" t="inlineStr">
        <is>
          <t>2. EL PATRÓN AAA (ARRANGE - ACT - ASSERT)</t>
        </is>
      </c>
    </row>
    <row r="10" ht="36" customHeight="1" s="45">
      <c r="A10" s="47" t="inlineStr">
        <is>
          <t>Arrange (Preparar)</t>
        </is>
      </c>
      <c r="B10" s="48" t="n"/>
      <c r="C10" s="23" t="inlineStr">
        <is>
          <t>Configurar el escenario, variables, usuarios o base de datos requeridos antes de ejecutar la acción (Columna D: 'Datos de Entrada').</t>
        </is>
      </c>
      <c r="D10" s="49" t="n"/>
      <c r="E10" s="49" t="n"/>
      <c r="F10" s="48" t="n"/>
    </row>
    <row r="11" ht="36" customHeight="1" s="45">
      <c r="A11" s="47" t="inlineStr">
        <is>
          <t>Act (Actuar)</t>
        </is>
      </c>
      <c r="B11" s="48" t="n"/>
      <c r="C11" s="23" t="inlineStr">
        <is>
          <t>Ejecutar la función, endpoint o acción del usuario en pantalla (Columna E: 'Pasos de Ejecución').</t>
        </is>
      </c>
      <c r="D11" s="49" t="n"/>
      <c r="E11" s="49" t="n"/>
      <c r="F11" s="48" t="n"/>
    </row>
    <row r="12" ht="36" customHeight="1" s="45">
      <c r="A12" s="47" t="inlineStr">
        <is>
          <t>Assert (Verificar / Afirmar)</t>
        </is>
      </c>
      <c r="B12" s="48" t="n"/>
      <c r="C12" s="23" t="inlineStr">
        <is>
          <t>Comparar el resultado obtenido contra el oráculo o valor esperado exacto (Columna F: 'Resultado Esperado'). Nunca usar desigualdades vagas cuando se conoce el resultado determinista.</t>
        </is>
      </c>
      <c r="D12" s="49" t="n"/>
      <c r="E12" s="49" t="n"/>
      <c r="F12" s="48" t="n"/>
    </row>
    <row r="14" ht="21.75" customHeight="1" s="45">
      <c r="A14" s="64" t="inlineStr">
        <is>
          <t>3. ESTÁNDARES PARA EVIDENCIAS (CRITERIO SIGA SENA)</t>
        </is>
      </c>
    </row>
    <row r="15" ht="36" customHeight="1" s="45">
      <c r="A15" s="47" t="inlineStr">
        <is>
          <t>Pruebas Unitarias e Integración</t>
        </is>
      </c>
      <c r="B15" s="48" t="n"/>
      <c r="C15" s="23" t="inlineStr">
        <is>
          <t>Adjuntar captura de terminal donde se vea el reporte del ejecutor (ej. '15 passed in 0.42s') o archivo exportado de reporte (HTML/JSON) con fecha y rama Git.</t>
        </is>
      </c>
      <c r="D15" s="49" t="n"/>
      <c r="E15" s="49" t="n"/>
      <c r="F15" s="48" t="n"/>
    </row>
    <row r="16" ht="36" customHeight="1" s="45">
      <c r="A16" s="47" t="inlineStr">
        <is>
          <t>Pruebas E2E / Funcionales</t>
        </is>
      </c>
      <c r="B16" s="48" t="n"/>
      <c r="C16" s="23" t="inlineStr">
        <is>
          <t>Según la plantilla SIGA institucional, las evidencias de pantalla deben mostrar la URL del navegador completa, fecha y hora visibles del sistema, sin recortes alterados.</t>
        </is>
      </c>
      <c r="D16" s="49" t="n"/>
      <c r="E16" s="49" t="n"/>
      <c r="F16" s="48" t="n"/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20">
    <mergeCell ref="A15:B15"/>
    <mergeCell ref="A11:B11"/>
    <mergeCell ref="C7:F7"/>
    <mergeCell ref="A6:B6"/>
    <mergeCell ref="A16:B16"/>
    <mergeCell ref="A7:B7"/>
    <mergeCell ref="A14:F14"/>
    <mergeCell ref="A1:F2"/>
    <mergeCell ref="C6:F6"/>
    <mergeCell ref="C15:F15"/>
    <mergeCell ref="A4:F4"/>
    <mergeCell ref="C5:F5"/>
    <mergeCell ref="A12:B12"/>
    <mergeCell ref="A9:F9"/>
    <mergeCell ref="A5:B5"/>
    <mergeCell ref="C16:F16"/>
    <mergeCell ref="C10:F10"/>
    <mergeCell ref="C12:F12"/>
    <mergeCell ref="A10:B10"/>
    <mergeCell ref="C11:F1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2026-10-13T00:13:18Z</dcterms:created>
  <dcterms:modified xsi:type="dcterms:W3CDTF">2026-10-27T02:16:40Z</dcterms:modified>
</cp:coreProperties>
</file>