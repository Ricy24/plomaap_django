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trol y Resumen" sheetId="1" state="visible" r:id="rId1"/>
    <sheet name="Pruebas Unitarias" sheetId="2" state="visible" r:id="rId2"/>
    <sheet name="Pruebas Integracion" sheetId="3" state="visible" r:id="rId3"/>
    <sheet name="Pruebas E2E" sheetId="4" state="visible" r:id="rId4"/>
    <sheet name="Guía del Aprendi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olor theme="1"/>
      <sz val="11"/>
      <scheme val="minor"/>
    </font>
    <font>
      <name val="Calibri"/>
      <b val="1"/>
      <color rgb="FFFFFFFF"/>
      <sz val="13"/>
    </font>
    <font/>
    <font>
      <name val="Calibri"/>
      <b val="1"/>
      <color rgb="FF111827"/>
      <sz val="10"/>
    </font>
    <font>
      <name val="Calibri"/>
      <color rgb="FF1F2937"/>
      <sz val="10"/>
    </font>
    <font>
      <name val="Calibri"/>
      <i val="1"/>
      <color rgb="FF4B5563"/>
      <sz val="9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374151"/>
      <sz val="9"/>
    </font>
    <font>
      <name val="Calibri"/>
      <b val="1"/>
      <color rgb="FF0B4F26"/>
      <sz val="16"/>
    </font>
    <font>
      <name val="Calibri"/>
      <color theme="1"/>
      <scheme val="minor"/>
    </font>
    <font>
      <name val="Calibri"/>
      <b val="1"/>
      <color rgb="FF1F4E79"/>
      <sz val="10"/>
    </font>
  </fonts>
  <fills count="10">
    <fill>
      <patternFill/>
    </fill>
    <fill>
      <patternFill patternType="lightGray"/>
    </fill>
    <fill>
      <patternFill patternType="solid">
        <fgColor rgb="FF0B4F26"/>
        <bgColor rgb="FF0B4F26"/>
      </patternFill>
    </fill>
    <fill>
      <patternFill patternType="solid">
        <fgColor rgb="FFF3F4F6"/>
        <bgColor rgb="FFF3F4F6"/>
      </patternFill>
    </fill>
    <fill>
      <patternFill patternType="solid">
        <fgColor rgb="FFECFDF5"/>
        <bgColor rgb="FFECFDF5"/>
      </patternFill>
    </fill>
    <fill>
      <patternFill patternType="solid">
        <fgColor rgb="FF374151"/>
        <bgColor rgb="FF374151"/>
      </patternFill>
    </fill>
    <fill>
      <patternFill patternType="solid">
        <fgColor rgb="FFF9FAFB"/>
        <bgColor rgb="FFF9FAFB"/>
      </patternFill>
    </fill>
    <fill>
      <patternFill patternType="solid">
        <fgColor rgb="FFEAF2F8"/>
      </patternFill>
    </fill>
    <fill>
      <patternFill patternType="solid">
        <fgColor rgb="FFF0FDF4"/>
      </patternFill>
    </fill>
    <fill>
      <patternFill patternType="solid">
        <fgColor rgb="FF0F766E"/>
      </patternFill>
    </fill>
  </fills>
  <borders count="24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bottom style="thin">
        <color rgb="FFD1D5DB"/>
      </bottom>
    </border>
    <border>
      <top style="thin">
        <color rgb="FFD1D5DB"/>
      </top>
    </border>
    <border>
      <left/>
      <right/>
      <top/>
      <bottom/>
    </border>
    <border>
      <left style="thin">
        <color rgb="FFD1D5DB"/>
      </left>
    </border>
    <border>
      <right style="thin">
        <color rgb="FFD1D5DB"/>
      </right>
    </border>
    <border>
      <left style="thin">
        <color rgb="FFD1D5DB"/>
      </left>
      <right style="thin">
        <color rgb="FFD1D5DB"/>
      </right>
      <top style="medium">
        <color rgb="FF0F766E"/>
      </top>
      <bottom style="thin">
        <color rgb="FFD1D5DB"/>
      </bottom>
    </border>
    <border>
      <top style="medium">
        <color rgb="FF0F766E"/>
      </top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3" borderId="7" applyAlignment="1" pivotButton="0" quotePrefix="0" xfId="0">
      <alignment horizontal="left" vertical="center" wrapText="1"/>
    </xf>
    <xf numFmtId="0" fontId="3" fillId="3" borderId="7" pivotButton="0" quotePrefix="0" xfId="0"/>
    <xf numFmtId="0" fontId="2" fillId="0" borderId="8" pivotButton="0" quotePrefix="0" xfId="0"/>
    <xf numFmtId="0" fontId="3" fillId="0" borderId="7" pivotButton="0" quotePrefix="0" xfId="0"/>
    <xf numFmtId="0" fontId="4" fillId="0" borderId="7" applyAlignment="1" pivotButton="0" quotePrefix="0" xfId="0">
      <alignment horizontal="left" vertical="center" wrapText="1"/>
    </xf>
    <xf numFmtId="0" fontId="2" fillId="0" borderId="9" pivotButton="0" quotePrefix="0" xfId="0"/>
    <xf numFmtId="0" fontId="5" fillId="0" borderId="7" pivotButton="0" quotePrefix="0" xfId="0"/>
    <xf numFmtId="0" fontId="3" fillId="0" borderId="10" applyAlignment="1" pivotButton="0" quotePrefix="0" xfId="0">
      <alignment horizontal="center" vertical="center" wrapText="1"/>
    </xf>
    <xf numFmtId="0" fontId="3" fillId="3" borderId="10" pivotButton="0" quotePrefix="0" xfId="0"/>
    <xf numFmtId="0" fontId="6" fillId="2" borderId="11" applyAlignment="1" pivotButton="0" quotePrefix="0" xfId="0">
      <alignment horizontal="center" vertical="center" wrapText="1"/>
    </xf>
    <xf numFmtId="164" fontId="3" fillId="4" borderId="7" applyAlignment="1" pivotButton="0" quotePrefix="0" xfId="0">
      <alignment horizontal="center" vertical="center" wrapText="1"/>
    </xf>
    <xf numFmtId="0" fontId="2" fillId="0" borderId="12" pivotButton="0" quotePrefix="0" xfId="0"/>
    <xf numFmtId="0" fontId="2" fillId="0" borderId="13" pivotButton="0" quotePrefix="0" xfId="0"/>
    <xf numFmtId="0" fontId="7" fillId="5" borderId="10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center" vertical="center" wrapText="1"/>
    </xf>
    <xf numFmtId="3" fontId="9" fillId="4" borderId="14" applyAlignment="1" pivotButton="0" quotePrefix="0" xfId="0">
      <alignment horizontal="center" vertical="center" wrapText="1"/>
    </xf>
    <xf numFmtId="0" fontId="2" fillId="0" borderId="15" pivotButton="0" quotePrefix="0" xfId="0"/>
    <xf numFmtId="0" fontId="4" fillId="6" borderId="10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left" vertical="center" wrapText="1"/>
    </xf>
    <xf numFmtId="164" fontId="9" fillId="4" borderId="14" applyAlignment="1" pivotButton="0" quotePrefix="0" xfId="0">
      <alignment horizontal="center" vertical="center" wrapText="1"/>
    </xf>
    <xf numFmtId="0" fontId="2" fillId="0" borderId="16" pivotButton="0" quotePrefix="0" xfId="0"/>
    <xf numFmtId="0" fontId="2" fillId="0" borderId="17" pivotButton="0" quotePrefix="0" xfId="0"/>
    <xf numFmtId="0" fontId="7" fillId="5" borderId="7" applyAlignment="1" pivotButton="0" quotePrefix="0" xfId="0">
      <alignment horizontal="center" vertical="center" wrapText="1"/>
    </xf>
    <xf numFmtId="0" fontId="4" fillId="0" borderId="10" pivotButton="0" quotePrefix="0" xfId="0"/>
    <xf numFmtId="3" fontId="3" fillId="0" borderId="10" applyAlignment="1" pivotButton="0" quotePrefix="0" xfId="0">
      <alignment horizontal="center" vertical="center" wrapText="1"/>
    </xf>
    <xf numFmtId="3" fontId="4" fillId="0" borderId="10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 wrapText="1"/>
    </xf>
    <xf numFmtId="0" fontId="3" fillId="3" borderId="7" applyAlignment="1" pivotButton="0" quotePrefix="0" xfId="0">
      <alignment horizontal="right" vertical="center"/>
    </xf>
    <xf numFmtId="3" fontId="3" fillId="3" borderId="10" applyAlignment="1" pivotButton="0" quotePrefix="0" xfId="0">
      <alignment horizontal="center" vertical="center" wrapText="1"/>
    </xf>
    <xf numFmtId="0" fontId="10" fillId="0" borderId="0" pivotButton="0" quotePrefix="0" xfId="0"/>
    <xf numFmtId="164" fontId="3" fillId="3" borderId="10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9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6" fillId="2" borderId="19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3" fontId="9" fillId="4" borderId="10" applyAlignment="1" pivotButton="0" quotePrefix="0" xfId="0">
      <alignment horizontal="center" vertical="center" wrapText="1"/>
    </xf>
    <xf numFmtId="0" fontId="0" fillId="0" borderId="15" pivotButton="0" quotePrefix="0" xfId="0"/>
    <xf numFmtId="164" fontId="9" fillId="4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0" pivotButton="0" quotePrefix="0" xfId="0"/>
    <xf numFmtId="0" fontId="3" fillId="3" borderId="10" applyAlignment="1" pivotButton="0" quotePrefix="0" xfId="0">
      <alignment horizontal="right" vertical="center"/>
    </xf>
    <xf numFmtId="0" fontId="5" fillId="0" borderId="10" pivotButton="0" quotePrefix="0" xfId="0"/>
    <xf numFmtId="164" fontId="3" fillId="4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top" wrapText="1"/>
    </xf>
    <xf numFmtId="0" fontId="6" fillId="2" borderId="19" applyAlignment="1" pivotButton="0" quotePrefix="0" xfId="0">
      <alignment horizontal="left" vertical="center" wrapText="1"/>
    </xf>
    <xf numFmtId="9" fontId="3" fillId="4" borderId="1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9" borderId="10" applyAlignment="1" pivotButton="0" quotePrefix="0" xfId="0">
      <alignment horizontal="center" vertical="center" wrapText="1"/>
    </xf>
    <xf numFmtId="0" fontId="4" fillId="8" borderId="22" applyAlignment="1" pivotButton="0" quotePrefix="0" xfId="0">
      <alignment horizontal="center" vertical="top" wrapText="1"/>
    </xf>
    <xf numFmtId="0" fontId="4" fillId="8" borderId="22" applyAlignment="1" pivotButton="0" quotePrefix="0" xfId="0">
      <alignment horizontal="left" vertical="top" wrapText="1"/>
    </xf>
    <xf numFmtId="0" fontId="5" fillId="8" borderId="22" applyAlignment="1" pivotButton="0" quotePrefix="0" xfId="0">
      <alignment horizontal="left" vertical="top" wrapText="1"/>
    </xf>
    <xf numFmtId="0" fontId="4" fillId="8" borderId="23" applyAlignment="1" pivotButton="0" quotePrefix="0" xfId="0">
      <alignment horizontal="center" vertical="top" wrapText="1"/>
    </xf>
    <xf numFmtId="0" fontId="4" fillId="8" borderId="10" applyAlignment="1" pivotButton="0" quotePrefix="0" xfId="0">
      <alignment horizontal="center" vertical="top" wrapText="1"/>
    </xf>
    <xf numFmtId="0" fontId="4" fillId="8" borderId="10" applyAlignment="1" pivotButton="0" quotePrefix="0" xfId="0">
      <alignment horizontal="left" vertical="top" wrapText="1"/>
    </xf>
    <xf numFmtId="0" fontId="5" fillId="8" borderId="1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center" vertical="top" wrapText="1"/>
    </xf>
  </cellXfs>
  <cellStyles count="1">
    <cellStyle name="Normal" xfId="0" builtinId="0"/>
  </cellStyles>
  <dxfs count="4">
    <dxf>
      <font>
        <b val="1"/>
        <color rgb="FF166534"/>
      </font>
      <fill>
        <patternFill patternType="solid">
          <fgColor rgb="FFDCFCE7"/>
          <bgColor rgb="FFDCFCE7"/>
        </patternFill>
      </fill>
      <border/>
    </dxf>
    <dxf>
      <font>
        <b val="1"/>
        <color rgb="FF991B1B"/>
      </font>
      <fill>
        <patternFill patternType="solid">
          <fgColor rgb="FFFEE2E2"/>
          <bgColor rgb="FFFEE2E2"/>
        </patternFill>
      </fill>
      <border/>
    </dxf>
    <dxf>
      <font>
        <b val="1"/>
        <color rgb="FF854D0E"/>
      </font>
      <fill>
        <patternFill patternType="solid">
          <fgColor rgb="FFFEF9C3"/>
          <bgColor rgb="FFFEF9C3"/>
        </patternFill>
      </fill>
      <border/>
    </dxf>
    <dxf>
      <font>
        <color rgb="FF006100"/>
      </font>
      <fill>
        <patternFill patternType="solid">
          <fgColor rgb="FFC6EF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2"/>
    <col width="16" customWidth="1" style="45" min="3" max="8"/>
    <col width="14" customWidth="1" style="45" min="9" max="9"/>
    <col width="18" customWidth="1" style="45" min="10" max="10"/>
    <col width="8.710000000000001" customWidth="1" style="45" min="11" max="26"/>
  </cols>
  <sheetData>
    <row r="1" ht="21.75" customHeight="1" s="45">
      <c r="A1" s="46" t="inlineStr">
        <is>
          <t>SERVICIO NACIONAL DE APRENDIZAJE (SENA) - SIGA / GESTIÓN DE SISTEMAS
PLAN MAESTRO Y MATRIZ INTEGRAL DE PRUEBAS DE SOFTWARE</t>
        </is>
      </c>
    </row>
    <row r="2" ht="21.75" customHeight="1" s="45"/>
    <row r="3"/>
    <row r="4" ht="19.5" customHeight="1" s="45">
      <c r="A4" s="47" t="inlineStr">
        <is>
          <t>Programa de Formación:</t>
        </is>
      </c>
      <c r="B4" s="48" t="n"/>
      <c r="C4" s="23" t="inlineStr">
        <is>
          <t>Tecnología en Análisis y Desarrollo de Software (ADSO) - Cód. 228118</t>
        </is>
      </c>
      <c r="D4" s="49" t="n"/>
      <c r="E4" s="48" t="n"/>
      <c r="F4" s="47" t="inlineStr">
        <is>
          <t>Fase / Guía de Aprendizaje:</t>
        </is>
      </c>
      <c r="G4" s="48" t="n"/>
      <c r="H4" s="23" t="inlineStr">
        <is>
          <t>Fase Evaluación / Guía GA9 - Componente Formativo Pruebas</t>
        </is>
      </c>
      <c r="I4" s="49" t="n"/>
      <c r="J4" s="48" t="n"/>
    </row>
    <row r="5" ht="19.5" customHeight="1" s="45">
      <c r="A5" s="47" t="inlineStr">
        <is>
          <t>Nombre del Proyecto de Software:</t>
        </is>
      </c>
      <c r="B5" s="48" t="n"/>
      <c r="C5" s="23" t="inlineStr">
        <is>
          <t>PlomApp - Sistema de gestión de servicios de plomería</t>
        </is>
      </c>
      <c r="D5" s="49" t="n"/>
      <c r="E5" s="48" t="n"/>
      <c r="F5" s="47" t="inlineStr">
        <is>
          <t>Ficha de Caracterización:</t>
        </is>
      </c>
      <c r="G5" s="48" t="n"/>
      <c r="H5" s="23" t="inlineStr">
        <is>
          <t>[Completar ficha SENA]</t>
        </is>
      </c>
      <c r="I5" s="49" t="n"/>
      <c r="J5" s="48" t="n"/>
    </row>
    <row r="6" ht="19.5" customHeight="1" s="45">
      <c r="A6" s="47" t="inlineStr">
        <is>
          <t>Aprendices / Equipo de Pruebas:</t>
        </is>
      </c>
      <c r="B6" s="48" t="n"/>
      <c r="C6" s="23" t="inlineStr">
        <is>
          <t>Andrés Durán, Sebastián Samacá, Dairon Salazar, Kevin Pinzón</t>
        </is>
      </c>
      <c r="D6" s="49" t="n"/>
      <c r="E6" s="48" t="n"/>
      <c r="F6" s="47" t="inlineStr">
        <is>
          <t>Instructor Técnico Evaluador:</t>
        </is>
      </c>
      <c r="G6" s="48" t="n"/>
      <c r="H6" s="23" t="inlineStr">
        <is>
          <t>[Completar nombre del instructor]</t>
        </is>
      </c>
      <c r="I6" s="49" t="n"/>
      <c r="J6" s="48" t="n"/>
    </row>
    <row r="7" ht="19.5" customHeight="1" s="45">
      <c r="A7" s="47" t="inlineStr">
        <is>
          <t>Versión del Documento / Fecha:</t>
        </is>
      </c>
      <c r="B7" s="48" t="n"/>
      <c r="C7" s="23" t="inlineStr">
        <is>
          <t>v1.2 - 27/10/2026</t>
        </is>
      </c>
      <c r="D7" s="49" t="n"/>
      <c r="E7" s="48" t="n"/>
      <c r="F7" s="47" t="inlineStr">
        <is>
          <t>Repositorio / Entorno:</t>
        </is>
      </c>
      <c r="G7" s="48" t="n"/>
      <c r="H7" s="23" t="inlineStr">
        <is>
          <t>https://github.com/Ricy24/plomaap_django (rama dev_Andres)</t>
        </is>
      </c>
      <c r="I7" s="49" t="n"/>
      <c r="J7" s="48" t="n"/>
    </row>
    <row r="8"/>
    <row r="9" ht="21.75" customHeight="1" s="45">
      <c r="A9" s="50" t="inlineStr">
        <is>
          <t>PANEL DE CONTROL DE CALIDAD - RESUMEN DE EJECUCIÓN GENERAL</t>
        </is>
      </c>
    </row>
    <row r="10"/>
    <row r="11" ht="18" customHeight="1" s="45">
      <c r="A11" s="51" t="inlineStr">
        <is>
          <t>TOTAL CASOS PLANEADOS</t>
        </is>
      </c>
      <c r="B11" s="48" t="n"/>
      <c r="C11" s="51" t="inlineStr">
        <is>
          <t>PRUEBAS EXITOSAS</t>
        </is>
      </c>
      <c r="D11" s="48" t="n"/>
      <c r="E11" s="51" t="inlineStr">
        <is>
          <t>PRUEBAS FALLIDAS (DEFECTOS)</t>
        </is>
      </c>
      <c r="F11" s="48" t="n"/>
      <c r="G11" s="51" t="inlineStr">
        <is>
          <t>BLOQUEADAS / PENDIENTES</t>
        </is>
      </c>
      <c r="H11" s="48" t="n"/>
      <c r="I11" s="51" t="inlineStr">
        <is>
          <t>% COBERTURA DE ÉXITO</t>
        </is>
      </c>
      <c r="J11" s="48" t="n"/>
    </row>
    <row r="12" ht="19.5" customHeight="1" s="45">
      <c r="A12" s="52">
        <f>COUNTA('Pruebas Unitarias'!A8:A47) + COUNTA('Pruebas Integracion'!A8:A37) + COUNTA('Pruebas E2E'!A8:A37)</f>
        <v/>
      </c>
      <c r="B12" s="53" t="n"/>
      <c r="C12" s="52">
        <f>COUNTIF('Pruebas Unitarias'!I8:I47,"Exitoso") + COUNTIF('Pruebas Integracion'!I8:I37,"Exitoso") + COUNTIF('Pruebas E2E'!I8:I37,"Exitoso")</f>
        <v/>
      </c>
      <c r="D12" s="53" t="n"/>
      <c r="E12" s="52">
        <f>COUNTIF('Pruebas Unitarias'!I8:I47,"Falló") + COUNTIF('Pruebas Integracion'!I8:I37,"Falló") + COUNTIF('Pruebas E2E'!I8:I37,"Falló")</f>
        <v/>
      </c>
      <c r="F12" s="53" t="n"/>
      <c r="G12" s="52">
        <f>COUNTIF('Pruebas Unitarias'!I8:I47,"Bloqueado") + COUNTIF('Pruebas Unitarias'!I8:I47,"Pendiente") + COUNTIF('Pruebas Integracion'!I8:I37,"Bloqueado") + COUNTIF('Pruebas Integracion'!I8:I37,"Pendiente") + COUNTIF('Pruebas E2E'!I8:I37,"Bloqueado") + COUNTIF('Pruebas E2E'!I8:I37,"Pendiente")</f>
        <v/>
      </c>
      <c r="H12" s="53" t="n"/>
      <c r="I12" s="54">
        <f>IF(A12&gt;0, C12/A12, 0)</f>
        <v/>
      </c>
      <c r="J12" s="53" t="n"/>
    </row>
    <row r="13" ht="19.5" customHeight="1" s="45">
      <c r="A13" s="55" t="n"/>
      <c r="B13" s="56" t="n"/>
      <c r="C13" s="55" t="n"/>
      <c r="D13" s="56" t="n"/>
      <c r="E13" s="55" t="n"/>
      <c r="F13" s="56" t="n"/>
      <c r="G13" s="55" t="n"/>
      <c r="H13" s="56" t="n"/>
      <c r="I13" s="55" t="n"/>
      <c r="J13" s="56" t="n"/>
    </row>
    <row r="14"/>
    <row r="15" ht="21.75" customHeight="1" s="45">
      <c r="A15" s="50" t="inlineStr">
        <is>
          <t>DESGLOSE POR NIVEL DE PRUEBA (PIRÁMIDE DE PRUEBAS DE SOFTWARE)</t>
        </is>
      </c>
    </row>
    <row r="16" ht="21.75" customHeight="1" s="45">
      <c r="A16" s="20" t="inlineStr">
        <is>
          <t>Nivel de Prueba</t>
        </is>
      </c>
      <c r="B16" s="48" t="n"/>
      <c r="C16" s="20" t="inlineStr">
        <is>
          <t>Enfoque / Caja</t>
        </is>
      </c>
      <c r="D16" s="20" t="inlineStr">
        <is>
          <t>Hoja Asociada</t>
        </is>
      </c>
      <c r="E16" s="20" t="inlineStr">
        <is>
          <t>Total Casos</t>
        </is>
      </c>
      <c r="F16" s="20" t="inlineStr">
        <is>
          <t>Exitosas</t>
        </is>
      </c>
      <c r="G16" s="20" t="inlineStr">
        <is>
          <t>Fallidas</t>
        </is>
      </c>
      <c r="H16" s="20" t="inlineStr">
        <is>
          <t>Pendientes</t>
        </is>
      </c>
      <c r="I16" s="20" t="inlineStr">
        <is>
          <t>% Éxito</t>
        </is>
      </c>
      <c r="J16" s="20" t="inlineStr">
        <is>
          <t>Herramientas Sugeridas</t>
        </is>
      </c>
    </row>
    <row r="17" ht="19.5" customHeight="1" s="45">
      <c r="A17" s="57" t="inlineStr">
        <is>
          <t>Pruebas Unitarias</t>
        </is>
      </c>
      <c r="B17" s="48" t="n"/>
      <c r="C17" s="33" t="inlineStr">
        <is>
          <t>Caja Blanca / Lógica interna</t>
        </is>
      </c>
      <c r="D17" s="22" t="inlineStr">
        <is>
          <t>Pruebas Unitarias</t>
        </is>
      </c>
      <c r="E17" s="34">
        <f>COUNTA('Pruebas Unitarias'!A8:A47)</f>
        <v/>
      </c>
      <c r="F17" s="35">
        <f>COUNTIF('Pruebas Unitarias'!I8:I47,"Exitoso")</f>
        <v/>
      </c>
      <c r="G17" s="35">
        <f>COUNTIF('Pruebas Unitarias'!I8:I47,"Falló")</f>
        <v/>
      </c>
      <c r="H17" s="35">
        <f>COUNTIF('Pruebas Unitarias'!I8:I47,"Pendiente") + COUNTIF('Pruebas Unitarias'!I8:I47,"Bloqueado")</f>
        <v/>
      </c>
      <c r="I17" s="36">
        <f>IF(E17&gt;0, F17/E17, 0)</f>
        <v/>
      </c>
      <c r="J17" s="37" t="inlineStr">
        <is>
          <t>PyTest, Jest, JUnit, PHPUnit, Vitest</t>
        </is>
      </c>
    </row>
    <row r="18" ht="19.5" customHeight="1" s="45">
      <c r="A18" s="57" t="inlineStr">
        <is>
          <t>Pruebas de Integración</t>
        </is>
      </c>
      <c r="B18" s="48" t="n"/>
      <c r="C18" s="33" t="inlineStr">
        <is>
          <t>Caja Gris / Servicios y BD</t>
        </is>
      </c>
      <c r="D18" s="22" t="inlineStr">
        <is>
          <t>Pruebas Integracion</t>
        </is>
      </c>
      <c r="E18" s="34">
        <f>COUNTA('Pruebas Integracion'!A8:A37)</f>
        <v/>
      </c>
      <c r="F18" s="35">
        <f>COUNTIF('Pruebas Integracion'!I8:I37,"Exitoso")</f>
        <v/>
      </c>
      <c r="G18" s="35">
        <f>COUNTIF('Pruebas Integracion'!I8:I37,"Falló")</f>
        <v/>
      </c>
      <c r="H18" s="35">
        <f>COUNTIF('Pruebas Integracion'!I8:I37,"Pendiente") + COUNTIF('Pruebas Integracion'!I8:I37,"Bloqueado")</f>
        <v/>
      </c>
      <c r="I18" s="36">
        <f>IF(E18&gt;0, F18/E18, 0)</f>
        <v/>
      </c>
      <c r="J18" s="37" t="inlineStr">
        <is>
          <t>Supertest, Postman/Newman, REST Assured, Testcontainers</t>
        </is>
      </c>
    </row>
    <row r="19" ht="19.5" customHeight="1" s="45">
      <c r="A19" s="57" t="inlineStr">
        <is>
          <t>Pruebas End-to-End (E2E)</t>
        </is>
      </c>
      <c r="B19" s="48" t="n"/>
      <c r="C19" s="33" t="inlineStr">
        <is>
          <t>Caja Negra / Flujo Usuario Final</t>
        </is>
      </c>
      <c r="D19" s="22" t="inlineStr">
        <is>
          <t>Pruebas E2E</t>
        </is>
      </c>
      <c r="E19" s="34">
        <f>COUNTA('Pruebas E2E'!A8:A37)</f>
        <v/>
      </c>
      <c r="F19" s="35">
        <f>COUNTIF('Pruebas E2E'!I8:I37,"Exitoso")</f>
        <v/>
      </c>
      <c r="G19" s="35">
        <f>COUNTIF('Pruebas E2E'!I8:I37,"Falló")</f>
        <v/>
      </c>
      <c r="H19" s="35">
        <f>COUNTIF('Pruebas E2E'!I8:I37,"Pendiente") + COUNTIF('Pruebas E2E'!I8:I37,"Bloqueado")</f>
        <v/>
      </c>
      <c r="I19" s="36">
        <f>IF(E19&gt;0, F19/E19, 0)</f>
        <v/>
      </c>
      <c r="J19" s="37" t="inlineStr">
        <is>
          <t>Cypress, Playwright, Selenium, Robot Framework</t>
        </is>
      </c>
    </row>
    <row r="20" ht="21.75" customHeight="1" s="45">
      <c r="A20" s="58" t="inlineStr">
        <is>
          <t>TOTALES DEL PROYECTO</t>
        </is>
      </c>
      <c r="B20" s="49" t="n"/>
      <c r="C20" s="49" t="n"/>
      <c r="D20" s="48" t="n"/>
      <c r="E20" s="39">
        <f>SUM(E17:E19)</f>
        <v/>
      </c>
      <c r="F20" s="39">
        <f>SUM(F17:F19)</f>
        <v/>
      </c>
      <c r="G20" s="39">
        <f>SUM(G17:G19)</f>
        <v/>
      </c>
      <c r="H20" s="39">
        <f>SUM(H17:H19)</f>
        <v/>
      </c>
      <c r="I20" s="41">
        <f>IF(E20&gt;0, F20/E20, 0)</f>
        <v/>
      </c>
      <c r="J20" s="42" t="inlineStr">
        <is>
          <t>Cumplimiento meta de calidad</t>
        </is>
      </c>
    </row>
    <row r="21" ht="15.75" customHeight="1" s="45"/>
    <row r="22" ht="19.5" customHeight="1" s="45">
      <c r="A22" s="50" t="inlineStr">
        <is>
          <t>HISTORIAL DE CONTROL DE CAMBIOS DEL DOCUMENTO</t>
        </is>
      </c>
    </row>
    <row r="23" ht="19.5" customHeight="1" s="45">
      <c r="A23" s="20" t="inlineStr">
        <is>
          <t>Versión</t>
        </is>
      </c>
      <c r="B23" s="20" t="inlineStr">
        <is>
          <t>Descripción / Motivo del Cambio</t>
        </is>
      </c>
      <c r="C23" s="49" t="n"/>
      <c r="D23" s="49" t="n"/>
      <c r="E23" s="48" t="n"/>
      <c r="F23" s="20" t="inlineStr">
        <is>
          <t>Responsable / Rol</t>
        </is>
      </c>
      <c r="G23" s="49" t="n"/>
      <c r="H23" s="48" t="n"/>
      <c r="I23" s="20" t="inlineStr">
        <is>
          <t>Fecha (DD/MM/AAAA)</t>
        </is>
      </c>
      <c r="J23" s="48" t="n"/>
    </row>
    <row r="24" ht="19.5" customHeight="1" s="45">
      <c r="A24" s="22" t="inlineStr">
        <is>
          <t>1.0</t>
        </is>
      </c>
      <c r="B24" s="23" t="inlineStr">
        <is>
          <t>Creación del plan maestro y matriz de pruebas del proyecto PlomApp</t>
        </is>
      </c>
      <c r="C24" s="49" t="n"/>
      <c r="D24" s="49" t="n"/>
      <c r="E24" s="48" t="n"/>
      <c r="F24" s="23" t="inlineStr">
        <is>
          <t>Andrés / Desarrollo</t>
        </is>
      </c>
      <c r="G24" s="49" t="n"/>
      <c r="H24" s="48" t="n"/>
      <c r="I24" s="22" t="inlineStr">
        <is>
          <t>26/10/2026</t>
        </is>
      </c>
      <c r="J24" s="48" t="n"/>
    </row>
    <row r="25" ht="19.5" customHeight="1" s="45">
      <c r="A25" s="22" t="inlineStr">
        <is>
          <t>1.1</t>
        </is>
      </c>
      <c r="B25" s="23" t="inlineStr">
        <is>
          <t>Se consolida la suite de regresión del proyecto organizada por módulos (api/tests/unit/utils y api/tests/unit/services).</t>
        </is>
      </c>
      <c r="C25" s="49" t="n"/>
      <c r="D25" s="49" t="n"/>
      <c r="E25" s="48" t="n"/>
      <c r="F25" s="23" t="inlineStr">
        <is>
          <t>Andrés / Desarrollo</t>
        </is>
      </c>
      <c r="G25" s="49" t="n"/>
      <c r="H25" s="48" t="n"/>
      <c r="I25" s="22" t="inlineStr">
        <is>
          <t>27/10/2026</t>
        </is>
      </c>
      <c r="J25" s="48" t="n"/>
    </row>
    <row r="26" ht="32" customHeight="1" s="45">
      <c r="A26" s="22" t="inlineStr">
        <is>
          <t>1.2</t>
        </is>
      </c>
      <c r="B26" s="23" t="inlineStr">
        <is>
          <t>Se crea este archivo independiente con las 40 pruebas unitarias de la entrega por integrante (UNIT-001 a UNIT-040), 10 por aprendiz.</t>
        </is>
      </c>
      <c r="C26" s="49" t="n"/>
      <c r="D26" s="49" t="n"/>
      <c r="E26" s="48" t="n"/>
      <c r="F26" s="23" t="inlineStr">
        <is>
          <t>Andrés Durán, Sebastián Samacá, Dairon Salazar, Kevin Pinzón</t>
        </is>
      </c>
      <c r="G26" s="49" t="n"/>
      <c r="H26" s="48" t="n"/>
      <c r="I26" s="22" t="inlineStr">
        <is>
          <t>27/10/2026</t>
        </is>
      </c>
      <c r="J26" s="48" t="n"/>
    </row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47">
    <mergeCell ref="F4:G4"/>
    <mergeCell ref="A12:B13"/>
    <mergeCell ref="A1:J2"/>
    <mergeCell ref="C12:D13"/>
    <mergeCell ref="I12:J13"/>
    <mergeCell ref="A22:J22"/>
    <mergeCell ref="A11:B11"/>
    <mergeCell ref="G11:H11"/>
    <mergeCell ref="A20:D20"/>
    <mergeCell ref="I11:J11"/>
    <mergeCell ref="F26:H26"/>
    <mergeCell ref="F6:G6"/>
    <mergeCell ref="B24:E24"/>
    <mergeCell ref="I26:J26"/>
    <mergeCell ref="A6:B6"/>
    <mergeCell ref="H7:J7"/>
    <mergeCell ref="F7:G7"/>
    <mergeCell ref="F23:H23"/>
    <mergeCell ref="B26:E26"/>
    <mergeCell ref="A16:B16"/>
    <mergeCell ref="A7:B7"/>
    <mergeCell ref="A9:J9"/>
    <mergeCell ref="I25:J25"/>
    <mergeCell ref="F5:G5"/>
    <mergeCell ref="A15:J15"/>
    <mergeCell ref="B25:E25"/>
    <mergeCell ref="C7:E7"/>
    <mergeCell ref="A18:B18"/>
    <mergeCell ref="E12:F13"/>
    <mergeCell ref="G12:H13"/>
    <mergeCell ref="C11:D11"/>
    <mergeCell ref="H5:J5"/>
    <mergeCell ref="I24:J24"/>
    <mergeCell ref="E11:F11"/>
    <mergeCell ref="A5:B5"/>
    <mergeCell ref="I23:J23"/>
    <mergeCell ref="A17:B17"/>
    <mergeCell ref="C6:E6"/>
    <mergeCell ref="F25:H25"/>
    <mergeCell ref="A4:B4"/>
    <mergeCell ref="B23:E23"/>
    <mergeCell ref="C5:E5"/>
    <mergeCell ref="A19:B19"/>
    <mergeCell ref="H4:J4"/>
    <mergeCell ref="C4:E4"/>
    <mergeCell ref="F24:H24"/>
    <mergeCell ref="H6:J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22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UNITARIAS (CAJA BLANCA / CÓDIGO FUENTE)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1: Pruebas Unitarias (Unit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ISO/IEC/IEEE 29119-4: Cobertura de sentencias, caminos lógicos, valores límite (BVA), manejo de excepciones y tipos de datos.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COUNTA(A8:A47)</f>
        <v/>
      </c>
      <c r="D5" s="15" t="inlineStr">
        <is>
          <t>Exitosas (Aprobadas):</t>
        </is>
      </c>
      <c r="E5" s="48" t="n"/>
      <c r="F5" s="14">
        <f>COUNTIF(I8:I47,"Exitoso")</f>
        <v/>
      </c>
      <c r="G5" s="15" t="inlineStr">
        <is>
          <t>Fallidas (Defectos):</t>
        </is>
      </c>
      <c r="H5" s="48" t="n"/>
      <c r="I5" s="14">
        <f>COUNTIF(I8:I47,"Falló")</f>
        <v/>
      </c>
      <c r="J5" s="15" t="inlineStr">
        <is>
          <t>Tasa de Éxito:</t>
        </is>
      </c>
      <c r="K5" s="65">
        <f>IF(C5&gt;0, F5/C5, 0)</f>
        <v/>
      </c>
      <c r="L5" s="48" t="n"/>
    </row>
    <row r="6" ht="34" customHeight="1" s="45">
      <c r="A6" s="66" t="inlineStr">
        <is>
          <t>ENTREGA DE 40 PRUEBAS UNITARIAS: 10 por integrante en api/tests/unit/equipo/ (UNIT-001 a UNIT-040). Ejecución real: 40 passed. Cada fila indica el integrante responsable. Cobertura de referencia de la suite completa: 100% sobre api/utils y api/services.</t>
        </is>
      </c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  <c r="M7" s="67" t="inlineStr">
        <is>
          <t>Responsable / Integrante</t>
        </is>
      </c>
    </row>
    <row r="8" ht="78" customHeight="1" s="45">
      <c r="A8" s="68" t="inlineStr">
        <is>
          <t>UNIT-001</t>
        </is>
      </c>
      <c r="B8" s="69" t="inlineStr">
        <is>
          <t>Utilidades / Validación de email: correo con usuario, arroba y dominio</t>
        </is>
      </c>
      <c r="C8" s="69" t="inlineStr">
        <is>
          <t>Sin base de datos ni servidor; solo se importa la función desde api/utils/validators.py.</t>
        </is>
      </c>
      <c r="D8" s="69" t="inlineStr">
        <is>
          <t>email = "carlos@plomaap.com"</t>
        </is>
      </c>
      <c r="E8" s="69" t="inlineStr">
        <is>
          <t>1. Ejecutar: pytest api\tests\unit\equipo\test_integrante_1_validaciones.py::test_email_valido
2. validate_email("carlos@plomaap.com")</t>
        </is>
      </c>
      <c r="F8" s="69" t="inlineStr">
        <is>
          <t>Devuelve True (correo aceptado).</t>
        </is>
      </c>
      <c r="G8" s="69" t="inlineStr">
        <is>
          <t>Aprobado: passed en la suite api/tests/unit/equipo (27/10/2026).</t>
        </is>
      </c>
      <c r="H8" s="69" t="inlineStr">
        <is>
          <t>Caja Blanca (unitaria) / Particiones de equivalencia</t>
        </is>
      </c>
      <c r="I8" s="68" t="inlineStr">
        <is>
          <t>Exitoso</t>
        </is>
      </c>
      <c r="J8" s="68" t="inlineStr">
        <is>
          <t>Media</t>
        </is>
      </c>
      <c r="K8" s="70" t="inlineStr">
        <is>
          <t>api\tests\unit\equipo\test_integrante_1_validaciones.py::test_email_valido -&gt; 1 passed</t>
        </is>
      </c>
      <c r="L8" s="69" t="inlineStr">
        <is>
          <t>Sin defectos. Entrega del integrante: Andrés Durán.</t>
        </is>
      </c>
      <c r="M8" s="71" t="inlineStr">
        <is>
          <t>Andrés Durán</t>
        </is>
      </c>
    </row>
    <row r="9" ht="78" customHeight="1" s="45">
      <c r="A9" s="72" t="inlineStr">
        <is>
          <t>UNIT-002</t>
        </is>
      </c>
      <c r="B9" s="73" t="inlineStr">
        <is>
          <t>Utilidades / Validación de email: correo sin arroba</t>
        </is>
      </c>
      <c r="C9" s="73" t="inlineStr">
        <is>
          <t>Sin base de datos ni servidor; solo se importa la función desde api/utils/validators.py.</t>
        </is>
      </c>
      <c r="D9" s="73" t="inlineStr">
        <is>
          <t>email = "carlos.plomaap.com"</t>
        </is>
      </c>
      <c r="E9" s="73" t="inlineStr">
        <is>
          <t>1. Ejecutar: pytest api\tests\unit\equipo\test_integrante_1_validaciones.py::test_email_sin_arroba_es_invalido
2. validate_email("carlos.plomaap.com")</t>
        </is>
      </c>
      <c r="F9" s="73" t="inlineStr">
        <is>
          <t>Devuelve False (correo rechazado).</t>
        </is>
      </c>
      <c r="G9" s="73" t="inlineStr">
        <is>
          <t>Aprobado: passed en la suite api/tests/unit/equipo (27/10/2026).</t>
        </is>
      </c>
      <c r="H9" s="73" t="inlineStr">
        <is>
          <t>Caja Blanca (unitaria) / Particiones de equivalencia</t>
        </is>
      </c>
      <c r="I9" s="72" t="inlineStr">
        <is>
          <t>Exitoso</t>
        </is>
      </c>
      <c r="J9" s="72" t="inlineStr">
        <is>
          <t>Media</t>
        </is>
      </c>
      <c r="K9" s="74" t="inlineStr">
        <is>
          <t>api\tests\unit\equipo\test_integrante_1_validaciones.py::test_email_sin_arroba_es_invalido -&gt; 1 passed</t>
        </is>
      </c>
      <c r="L9" s="73" t="inlineStr">
        <is>
          <t>Sin defectos. Entrega del integrante: Andrés Durán.</t>
        </is>
      </c>
      <c r="M9" s="75" t="inlineStr">
        <is>
          <t>Andrés Durán</t>
        </is>
      </c>
    </row>
    <row r="10" ht="78" customHeight="1" s="45">
      <c r="A10" s="72" t="inlineStr">
        <is>
          <t>UNIT-003</t>
        </is>
      </c>
      <c r="B10" s="73" t="inlineStr">
        <is>
          <t>Utilidades / Validación de contraseña: longitud mínima</t>
        </is>
      </c>
      <c r="C10" s="73" t="inlineStr">
        <is>
          <t>Sin base de datos ni servidor; solo se importa la función desde api/utils/validators.py.</t>
        </is>
      </c>
      <c r="D10" s="73" t="inlineStr">
        <is>
          <t>password = "PlomApp1" (8 caracteres)</t>
        </is>
      </c>
      <c r="E10" s="73" t="inlineStr">
        <is>
          <t>1. Ejecutar: pytest api\tests\unit\equipo\test_integrante_1_validaciones.py::test_password_de_ocho_caracteres_es_valida
2. validate_password("PlomApp1")</t>
        </is>
      </c>
      <c r="F10" s="73" t="inlineStr">
        <is>
          <t>Devuelve True (cumple el mínimo de 8).</t>
        </is>
      </c>
      <c r="G10" s="73" t="inlineStr">
        <is>
          <t>Aprobado: passed en la suite api/tests/unit/equipo (27/10/2026).</t>
        </is>
      </c>
      <c r="H10" s="73" t="inlineStr">
        <is>
          <t>Caja Blanca (unitaria) / Valores límite (BVA)</t>
        </is>
      </c>
      <c r="I10" s="72" t="inlineStr">
        <is>
          <t>Exitoso</t>
        </is>
      </c>
      <c r="J10" s="72" t="inlineStr">
        <is>
          <t>Alta</t>
        </is>
      </c>
      <c r="K10" s="74" t="inlineStr">
        <is>
          <t>api\tests\unit\equipo\test_integrante_1_validaciones.py::test_password_de_ocho_caracteres_es_valida -&gt; 1 passed</t>
        </is>
      </c>
      <c r="L10" s="73" t="inlineStr">
        <is>
          <t>Sin defectos. Entrega del integrante: Andrés Durán.</t>
        </is>
      </c>
      <c r="M10" s="75" t="inlineStr">
        <is>
          <t>Andrés Durán</t>
        </is>
      </c>
    </row>
    <row r="11" ht="78" customHeight="1" s="45">
      <c r="A11" s="72" t="inlineStr">
        <is>
          <t>UNIT-004</t>
        </is>
      </c>
      <c r="B11" s="73" t="inlineStr">
        <is>
          <t>Utilidades / Validación de contraseña: contraseña demasiado corta</t>
        </is>
      </c>
      <c r="C11" s="73" t="inlineStr">
        <is>
          <t>Sin base de datos ni servidor; solo se importa la función desde api/utils/validators.py.</t>
        </is>
      </c>
      <c r="D11" s="73" t="inlineStr">
        <is>
          <t>password = "1234" (4 caracteres)</t>
        </is>
      </c>
      <c r="E11" s="73" t="inlineStr">
        <is>
          <t>1. Ejecutar: pytest api\tests\unit\equipo\test_integrante_1_validaciones.py::test_password_corta_es_invalida
2. validate_password("1234")</t>
        </is>
      </c>
      <c r="F11" s="73" t="inlineStr">
        <is>
          <t>Devuelve False (no cumple el mínimo).</t>
        </is>
      </c>
      <c r="G11" s="73" t="inlineStr">
        <is>
          <t>Aprobado: passed en la suite api/tests/unit/equipo (27/10/2026).</t>
        </is>
      </c>
      <c r="H11" s="73" t="inlineStr">
        <is>
          <t>Caja Blanca (unitaria) / Valores límite (BVA)</t>
        </is>
      </c>
      <c r="I11" s="72" t="inlineStr">
        <is>
          <t>Exitoso</t>
        </is>
      </c>
      <c r="J11" s="72" t="inlineStr">
        <is>
          <t>Alta</t>
        </is>
      </c>
      <c r="K11" s="74" t="inlineStr">
        <is>
          <t>api\tests\unit\equipo\test_integrante_1_validaciones.py::test_password_corta_es_invalida -&gt; 1 passed</t>
        </is>
      </c>
      <c r="L11" s="73" t="inlineStr">
        <is>
          <t>Sin defectos. Entrega del integrante: Andrés Durán.</t>
        </is>
      </c>
      <c r="M11" s="75" t="inlineStr">
        <is>
          <t>Andrés Durán</t>
        </is>
      </c>
    </row>
    <row r="12" ht="78" customHeight="1" s="45">
      <c r="A12" s="72" t="inlineStr">
        <is>
          <t>UNIT-005</t>
        </is>
      </c>
      <c r="B12" s="73" t="inlineStr">
        <is>
          <t>Utilidades / Validación de teléfono: celular con prefijo +57</t>
        </is>
      </c>
      <c r="C12" s="73" t="inlineStr">
        <is>
          <t>Sin base de datos ni servidor; solo se importa la función desde api/utils/validators.py.</t>
        </is>
      </c>
      <c r="D12" s="73" t="inlineStr">
        <is>
          <t>phone = "+573001234567"</t>
        </is>
      </c>
      <c r="E12" s="73" t="inlineStr">
        <is>
          <t>1. Ejecutar: pytest api\tests\unit\equipo\test_integrante_1_validaciones.py::test_telefono_valido
2. validate_phone("+573001234567")</t>
        </is>
      </c>
      <c r="F12" s="73" t="inlineStr">
        <is>
          <t>Devuelve True (teléfono aceptado).</t>
        </is>
      </c>
      <c r="G12" s="73" t="inlineStr">
        <is>
          <t>Aprobado: passed en la suite api/tests/unit/equipo (27/10/2026).</t>
        </is>
      </c>
      <c r="H12" s="73" t="inlineStr">
        <is>
          <t>Caja Blanca (unitaria) / Particiones de equivalencia</t>
        </is>
      </c>
      <c r="I12" s="72" t="inlineStr">
        <is>
          <t>Exitoso</t>
        </is>
      </c>
      <c r="J12" s="72" t="inlineStr">
        <is>
          <t>Media</t>
        </is>
      </c>
      <c r="K12" s="74" t="inlineStr">
        <is>
          <t>api\tests\unit\equipo\test_integrante_1_validaciones.py::test_telefono_valido -&gt; 1 passed</t>
        </is>
      </c>
      <c r="L12" s="73" t="inlineStr">
        <is>
          <t>Sin defectos. Entrega del integrante: Andrés Durán.</t>
        </is>
      </c>
      <c r="M12" s="75" t="inlineStr">
        <is>
          <t>Andrés Durán</t>
        </is>
      </c>
    </row>
    <row r="13" ht="78" customHeight="1" s="45">
      <c r="A13" s="72" t="inlineStr">
        <is>
          <t>UNIT-006</t>
        </is>
      </c>
      <c r="B13" s="73" t="inlineStr">
        <is>
          <t>Utilidades / Validación de teléfono: caracteres no numéricos</t>
        </is>
      </c>
      <c r="C13" s="73" t="inlineStr">
        <is>
          <t>Sin base de datos ni servidor; solo se importa la función desde api/utils/validators.py.</t>
        </is>
      </c>
      <c r="D13" s="73" t="inlineStr">
        <is>
          <t>phone = "abc1234567"</t>
        </is>
      </c>
      <c r="E13" s="73" t="inlineStr">
        <is>
          <t>1. Ejecutar: pytest api\tests\unit\equipo\test_integrante_1_validaciones.py::test_telefono_con_letras_es_invalido
2. validate_phone("abc1234567")</t>
        </is>
      </c>
      <c r="F13" s="73" t="inlineStr">
        <is>
          <t>Devuelve False (solo admite dígitos y prefijo).</t>
        </is>
      </c>
      <c r="G13" s="73" t="inlineStr">
        <is>
          <t>Aprobado: passed en la suite api/tests/unit/equipo (27/10/2026).</t>
        </is>
      </c>
      <c r="H13" s="73" t="inlineStr">
        <is>
          <t>Caja Blanca (unitaria) / Particiones de equivalencia</t>
        </is>
      </c>
      <c r="I13" s="72" t="inlineStr">
        <is>
          <t>Exitoso</t>
        </is>
      </c>
      <c r="J13" s="72" t="inlineStr">
        <is>
          <t>Media</t>
        </is>
      </c>
      <c r="K13" s="74" t="inlineStr">
        <is>
          <t>api\tests\unit\equipo\test_integrante_1_validaciones.py::test_telefono_con_letras_es_invalido -&gt; 1 passed</t>
        </is>
      </c>
      <c r="L13" s="73" t="inlineStr">
        <is>
          <t>Sin defectos. Entrega del integrante: Andrés Durán.</t>
        </is>
      </c>
      <c r="M13" s="75" t="inlineStr">
        <is>
          <t>Andrés Durán</t>
        </is>
      </c>
    </row>
    <row r="14" ht="78" customHeight="1" s="45">
      <c r="A14" s="72" t="inlineStr">
        <is>
          <t>UNIT-007</t>
        </is>
      </c>
      <c r="B14" s="73" t="inlineStr">
        <is>
          <t>Utilidades / Validación de nombre: longitud mínima de 2</t>
        </is>
      </c>
      <c r="C14" s="73" t="inlineStr">
        <is>
          <t>Sin base de datos ni servidor; solo se importa la función desde api/utils/validators.py.</t>
        </is>
      </c>
      <c r="D14" s="73" t="inlineStr">
        <is>
          <t>name = "A"</t>
        </is>
      </c>
      <c r="E14" s="73" t="inlineStr">
        <is>
          <t>1. Ejecutar: pytest api\tests\unit\equipo\test_integrante_1_validaciones.py::test_nombre_de_un_caracter_es_invalido
2. validate_name("A")</t>
        </is>
      </c>
      <c r="F14" s="73" t="inlineStr">
        <is>
          <t>Devuelve False (un carácter no es válido).</t>
        </is>
      </c>
      <c r="G14" s="73" t="inlineStr">
        <is>
          <t>Aprobado: passed en la suite api/tests/unit/equipo (27/10/2026).</t>
        </is>
      </c>
      <c r="H14" s="73" t="inlineStr">
        <is>
          <t>Caja Blanca (unitaria) / Valores límite (BVA)</t>
        </is>
      </c>
      <c r="I14" s="72" t="inlineStr">
        <is>
          <t>Exitoso</t>
        </is>
      </c>
      <c r="J14" s="72" t="inlineStr">
        <is>
          <t>Baja</t>
        </is>
      </c>
      <c r="K14" s="74" t="inlineStr">
        <is>
          <t>api\tests\unit\equipo\test_integrante_1_validaciones.py::test_nombre_de_un_caracter_es_invalido -&gt; 1 passed</t>
        </is>
      </c>
      <c r="L14" s="73" t="inlineStr">
        <is>
          <t>Sin defectos. Entrega del integrante: Andrés Durán.</t>
        </is>
      </c>
      <c r="M14" s="75" t="inlineStr">
        <is>
          <t>Andrés Durán</t>
        </is>
      </c>
    </row>
    <row r="15" ht="78" customHeight="1" s="45">
      <c r="A15" s="72" t="inlineStr">
        <is>
          <t>UNIT-008</t>
        </is>
      </c>
      <c r="B15" s="73" t="inlineStr">
        <is>
          <t>Utilidades / Validación de fecha y hora: formatos YYYY-MM-DD y HH:MM</t>
        </is>
      </c>
      <c r="C15" s="73" t="inlineStr">
        <is>
          <t>Sin base de datos ni servidor; solo se importa la función desde api/utils/validators.py.</t>
        </is>
      </c>
      <c r="D15" s="73" t="inlineStr">
        <is>
          <t>date_str = "2026-11-02"; time_str = "09:30"</t>
        </is>
      </c>
      <c r="E15" s="73" t="inlineStr">
        <is>
          <t>1. Ejecutar: pytest api\tests\unit\equipo\test_integrante_1_validaciones.py::test_fecha_y_hora_validas
2. validate_date_time("2026-11-02", "09:30")</t>
        </is>
      </c>
      <c r="F15" s="73" t="inlineStr">
        <is>
          <t>Devuelve True (fecha y hora válidas).</t>
        </is>
      </c>
      <c r="G15" s="73" t="inlineStr">
        <is>
          <t>Aprobado: passed en la suite api/tests/unit/equipo (27/10/2026).</t>
        </is>
      </c>
      <c r="H15" s="73" t="inlineStr">
        <is>
          <t>Caja Blanca (unitaria) / Particiones de equivalencia</t>
        </is>
      </c>
      <c r="I15" s="72" t="inlineStr">
        <is>
          <t>Exitoso</t>
        </is>
      </c>
      <c r="J15" s="72" t="inlineStr">
        <is>
          <t>Media</t>
        </is>
      </c>
      <c r="K15" s="74" t="inlineStr">
        <is>
          <t>api\tests\unit\equipo\test_integrante_1_validaciones.py::test_fecha_y_hora_validas -&gt; 1 passed</t>
        </is>
      </c>
      <c r="L15" s="73" t="inlineStr">
        <is>
          <t>Sin defectos. Entrega del integrante: Andrés Durán.</t>
        </is>
      </c>
      <c r="M15" s="75" t="inlineStr">
        <is>
          <t>Andrés Durán</t>
        </is>
      </c>
    </row>
    <row r="16" ht="78" customHeight="1" s="45">
      <c r="A16" s="72" t="inlineStr">
        <is>
          <t>UNIT-009</t>
        </is>
      </c>
      <c r="B16" s="73" t="inlineStr">
        <is>
          <t>Utilidades / Validación de fecha: formato DD/MM/YYYY no soportado</t>
        </is>
      </c>
      <c r="C16" s="73" t="inlineStr">
        <is>
          <t>Sin base de datos ni servidor; solo se importa la función desde api/utils/validators.py.</t>
        </is>
      </c>
      <c r="D16" s="73" t="inlineStr">
        <is>
          <t>date_str = "02/11/2026"; time_str = "09:30"</t>
        </is>
      </c>
      <c r="E16" s="73" t="inlineStr">
        <is>
          <t>1. Ejecutar: pytest api\tests\unit\equipo\test_integrante_1_validaciones.py::test_fecha_con_formato_incorrecto_es_invalida
2. validate_date_time("02/11/2026", "09:30")</t>
        </is>
      </c>
      <c r="F16" s="73" t="inlineStr">
        <is>
          <t>Devuelve False (formato incorrecto).</t>
        </is>
      </c>
      <c r="G16" s="73" t="inlineStr">
        <is>
          <t>Aprobado: passed en la suite api/tests/unit/equipo (27/10/2026).</t>
        </is>
      </c>
      <c r="H16" s="73" t="inlineStr">
        <is>
          <t>Caja Blanca (unitaria) / Particiones de equivalencia</t>
        </is>
      </c>
      <c r="I16" s="72" t="inlineStr">
        <is>
          <t>Exitoso</t>
        </is>
      </c>
      <c r="J16" s="72" t="inlineStr">
        <is>
          <t>Media</t>
        </is>
      </c>
      <c r="K16" s="74" t="inlineStr">
        <is>
          <t>api\tests\unit\equipo\test_integrante_1_validaciones.py::test_fecha_con_formato_incorrecto_es_invalida -&gt; 1 passed</t>
        </is>
      </c>
      <c r="L16" s="73" t="inlineStr">
        <is>
          <t>Sin defectos. Entrega del integrante: Andrés Durán.</t>
        </is>
      </c>
      <c r="M16" s="75" t="inlineStr">
        <is>
          <t>Andrés Durán</t>
        </is>
      </c>
    </row>
    <row r="17" ht="78" customHeight="1" s="45">
      <c r="A17" s="72" t="inlineStr">
        <is>
          <t>UNIT-010</t>
        </is>
      </c>
      <c r="B17" s="73" t="inlineStr">
        <is>
          <t>Utilidades / Validación de rol: catálogo de roles permitidos</t>
        </is>
      </c>
      <c r="C17" s="73" t="inlineStr">
        <is>
          <t>Sin base de datos ni servidor; solo se importa la función desde api/utils/validators.py.</t>
        </is>
      </c>
      <c r="D17" s="73" t="inlineStr">
        <is>
          <t>role = "technician"</t>
        </is>
      </c>
      <c r="E17" s="73" t="inlineStr">
        <is>
          <t>1. Ejecutar: pytest api\tests\unit\equipo\test_integrante_1_validaciones.py::test_rol_valido
2. validate_role("technician")</t>
        </is>
      </c>
      <c r="F17" s="73" t="inlineStr">
        <is>
          <t>Devuelve True (rol permitido).</t>
        </is>
      </c>
      <c r="G17" s="73" t="inlineStr">
        <is>
          <t>Aprobado: passed en la suite api/tests/unit/equipo (27/10/2026).</t>
        </is>
      </c>
      <c r="H17" s="73" t="inlineStr">
        <is>
          <t>Caja Blanca (unitaria) / Particiones de equivalencia</t>
        </is>
      </c>
      <c r="I17" s="72" t="inlineStr">
        <is>
          <t>Exitoso</t>
        </is>
      </c>
      <c r="J17" s="72" t="inlineStr">
        <is>
          <t>Baja</t>
        </is>
      </c>
      <c r="K17" s="74" t="inlineStr">
        <is>
          <t>api\tests\unit\equipo\test_integrante_1_validaciones.py::test_rol_valido -&gt; 1 passed</t>
        </is>
      </c>
      <c r="L17" s="73" t="inlineStr">
        <is>
          <t>Sin defectos. Entrega del integrante: Andrés Durán.</t>
        </is>
      </c>
      <c r="M17" s="75" t="inlineStr">
        <is>
          <t>Andrés Durán</t>
        </is>
      </c>
    </row>
    <row r="18" ht="78" customHeight="1" s="45">
      <c r="A18" s="72" t="inlineStr">
        <is>
          <t>UNIT-011</t>
        </is>
      </c>
      <c r="B18" s="73" t="inlineStr">
        <is>
          <t>Seguridad / JWT: generación de token</t>
        </is>
      </c>
      <c r="C18" s="73" t="inlineStr">
        <is>
          <t>Sin servidor; RequestFactory simula la petición HTTP. Los casos con decoradores usan SQLite en memoria (fixture db).</t>
        </is>
      </c>
      <c r="D18" s="73" t="inlineStr">
        <is>
          <t>user_id = 1</t>
        </is>
      </c>
      <c r="E18" s="73" t="inlineStr">
        <is>
          <t>1. Ejecutar: pytest api\tests\unit\equipo\test_integrante_2_seguridad.py::test_generar_token_devuelve_texto
2. generate_token(1)</t>
        </is>
      </c>
      <c r="F18" s="73" t="inlineStr">
        <is>
          <t>Devuelve un str con exactamente 2 puntos (3 partes).</t>
        </is>
      </c>
      <c r="G18" s="73" t="inlineStr">
        <is>
          <t>Aprobado: passed en la suite api/tests/unit/equipo (27/10/2026).</t>
        </is>
      </c>
      <c r="H18" s="73" t="inlineStr">
        <is>
          <t>Caja Blanca (unitaria) / Camino feliz</t>
        </is>
      </c>
      <c r="I18" s="72" t="inlineStr">
        <is>
          <t>Exitoso</t>
        </is>
      </c>
      <c r="J18" s="72" t="inlineStr">
        <is>
          <t>Media</t>
        </is>
      </c>
      <c r="K18" s="74" t="inlineStr">
        <is>
          <t>api\tests\unit\equipo\test_integrante_2_seguridad.py::test_generar_token_devuelve_texto -&gt; 1 passed</t>
        </is>
      </c>
      <c r="L18" s="73" t="inlineStr">
        <is>
          <t>Sin defectos. Entrega del integrante: Sebastián Samacá.</t>
        </is>
      </c>
      <c r="M18" s="75" t="inlineStr">
        <is>
          <t>Sebastián Samacá</t>
        </is>
      </c>
    </row>
    <row r="19" ht="78" customHeight="1" s="45">
      <c r="A19" s="72" t="inlineStr">
        <is>
          <t>UNIT-012</t>
        </is>
      </c>
      <c r="B19" s="73" t="inlineStr">
        <is>
          <t>Seguridad / JWT: claim sub con el id del usuario</t>
        </is>
      </c>
      <c r="C19" s="73" t="inlineStr">
        <is>
          <t>Sin servidor; RequestFactory simula la petición HTTP. Los casos con decoradores usan SQLite en memoria (fixture db).</t>
        </is>
      </c>
      <c r="D19" s="73" t="inlineStr">
        <is>
          <t>user_id = 42; token = generate_token(42)</t>
        </is>
      </c>
      <c r="E19" s="73" t="inlineStr">
        <is>
          <t>1. Ejecutar: pytest api\tests\unit\equipo\test_integrante_2_seguridad.py::test_token_contiene_id_del_usuario
2. decode_token(token)</t>
        </is>
      </c>
      <c r="F19" s="73" t="inlineStr">
        <is>
          <t>payload["sub"] == "42".</t>
        </is>
      </c>
      <c r="G19" s="73" t="inlineStr">
        <is>
          <t>Aprobado: passed en la suite api/tests/unit/equipo (27/10/2026).</t>
        </is>
      </c>
      <c r="H19" s="73" t="inlineStr">
        <is>
          <t>Caja Blanca (unitaria) / Verificación de contrato</t>
        </is>
      </c>
      <c r="I19" s="72" t="inlineStr">
        <is>
          <t>Exitoso</t>
        </is>
      </c>
      <c r="J19" s="72" t="inlineStr">
        <is>
          <t>Alta</t>
        </is>
      </c>
      <c r="K19" s="74" t="inlineStr">
        <is>
          <t>api\tests\unit\equipo\test_integrante_2_seguridad.py::test_token_contiene_id_del_usuario -&gt; 1 passed</t>
        </is>
      </c>
      <c r="L19" s="73" t="inlineStr">
        <is>
          <t>Sin defectos. Entrega del integrante: Sebastián Samacá.</t>
        </is>
      </c>
      <c r="M19" s="75" t="inlineStr">
        <is>
          <t>Sebastián Samacá</t>
        </is>
      </c>
    </row>
    <row r="20" ht="78" customHeight="1" s="45">
      <c r="A20" s="72" t="inlineStr">
        <is>
          <t>UNIT-013</t>
        </is>
      </c>
      <c r="B20" s="73" t="inlineStr">
        <is>
          <t>Seguridad / JWT: token con firma alterada</t>
        </is>
      </c>
      <c r="C20" s="73" t="inlineStr">
        <is>
          <t>Sin servidor; RequestFactory simula la petición HTTP. Los casos con decoradores usan SQLite en memoria (fixture db).</t>
        </is>
      </c>
      <c r="D20" s="73" t="inlineStr">
        <is>
          <t>token = generate_token(7); token_alterado = token + "x"</t>
        </is>
      </c>
      <c r="E20" s="73" t="inlineStr">
        <is>
          <t>1. Ejecutar: pytest api\tests\unit\equipo\test_integrante_2_seguridad.py::test_token_alterado_es_rechazado
2. decode_token(token_alterado)</t>
        </is>
      </c>
      <c r="F20" s="73" t="inlineStr">
        <is>
          <t>Devuelve None (firma inválida).</t>
        </is>
      </c>
      <c r="G20" s="73" t="inlineStr">
        <is>
          <t>Aprobado: passed en la suite api/tests/unit/equipo (27/10/2026).</t>
        </is>
      </c>
      <c r="H20" s="73" t="inlineStr">
        <is>
          <t>Manejo de excepciones / Token inválido</t>
        </is>
      </c>
      <c r="I20" s="72" t="inlineStr">
        <is>
          <t>Exitoso</t>
        </is>
      </c>
      <c r="J20" s="72" t="inlineStr">
        <is>
          <t>Alta</t>
        </is>
      </c>
      <c r="K20" s="74" t="inlineStr">
        <is>
          <t>api\tests\unit\equipo\test_integrante_2_seguridad.py::test_token_alterado_es_rechazado -&gt; 1 passed</t>
        </is>
      </c>
      <c r="L20" s="73" t="inlineStr">
        <is>
          <t>Sin defectos. Entrega del integrante: Sebastián Samacá.</t>
        </is>
      </c>
      <c r="M20" s="75" t="inlineStr">
        <is>
          <t>Sebastián Samacá</t>
        </is>
      </c>
    </row>
    <row r="21" ht="78" customHeight="1" s="45">
      <c r="A21" s="72" t="inlineStr">
        <is>
          <t>UNIT-014</t>
        </is>
      </c>
      <c r="B21" s="73" t="inlineStr">
        <is>
          <t>Seguridad / JWT: token vencido</t>
        </is>
      </c>
      <c r="C21" s="73" t="inlineStr">
        <is>
          <t>Sin servidor; RequestFactory simula la petición HTTP. Los casos con decoradores usan SQLite en memoria (fixture db).</t>
        </is>
      </c>
      <c r="D21" s="73" t="inlineStr">
        <is>
          <t>payload con sub="1" y exp = ahora - 5 minutos</t>
        </is>
      </c>
      <c r="E21" s="73" t="inlineStr">
        <is>
          <t>1. Ejecutar: pytest api\tests\unit\equipo\test_integrante_2_seguridad.py::test_token_expirado_es_rechazado
2. decode_token(jwt.encode(payload, SECRET_KEY, HS256))</t>
        </is>
      </c>
      <c r="F21" s="73" t="inlineStr">
        <is>
          <t>Devuelve None (token expirado).</t>
        </is>
      </c>
      <c r="G21" s="73" t="inlineStr">
        <is>
          <t>Aprobado: passed en la suite api/tests/unit/equipo (27/10/2026).</t>
        </is>
      </c>
      <c r="H21" s="73" t="inlineStr">
        <is>
          <t>Valores límite (BVA) / Expiración</t>
        </is>
      </c>
      <c r="I21" s="72" t="inlineStr">
        <is>
          <t>Exitoso</t>
        </is>
      </c>
      <c r="J21" s="72" t="inlineStr">
        <is>
          <t>Alta</t>
        </is>
      </c>
      <c r="K21" s="74" t="inlineStr">
        <is>
          <t>api\tests\unit\equipo\test_integrante_2_seguridad.py::test_token_expirado_es_rechazado -&gt; 1 passed</t>
        </is>
      </c>
      <c r="L21" s="73" t="inlineStr">
        <is>
          <t>Sin defectos. Entrega del integrante: Sebastián Samacá.</t>
        </is>
      </c>
      <c r="M21" s="75" t="inlineStr">
        <is>
          <t>Sebastián Samacá</t>
        </is>
      </c>
    </row>
    <row r="22" ht="78" customHeight="1" s="45">
      <c r="A22" s="72" t="inlineStr">
        <is>
          <t>UNIT-015</t>
        </is>
      </c>
      <c r="B22" s="73" t="inlineStr">
        <is>
          <t>Seguridad / JWT: extracción del encabezado Authorization</t>
        </is>
      </c>
      <c r="C22" s="73" t="inlineStr">
        <is>
          <t>Sin servidor; RequestFactory simula la petición HTTP. Los casos con decoradores usan SQLite en memoria (fixture db).</t>
        </is>
      </c>
      <c r="D22" s="73" t="inlineStr">
        <is>
          <t>HTTP_AUTHORIZATION = "Bearer abc.def.ghi"</t>
        </is>
      </c>
      <c r="E22" s="73" t="inlineStr">
        <is>
          <t>1. Ejecutar: pytest api\tests\unit\equipo\test_integrante_2_seguridad.py::test_extraer_token_con_bearer
2. get_token_from_request(request)</t>
        </is>
      </c>
      <c r="F22" s="73" t="inlineStr">
        <is>
          <t>Devuelve "abc.def.ghi".</t>
        </is>
      </c>
      <c r="G22" s="73" t="inlineStr">
        <is>
          <t>Aprobado: passed en la suite api/tests/unit/equipo (27/10/2026).</t>
        </is>
      </c>
      <c r="H22" s="73" t="inlineStr">
        <is>
          <t>Caja Blanca (unitaria) / Particiones de equivalencia</t>
        </is>
      </c>
      <c r="I22" s="72" t="inlineStr">
        <is>
          <t>Exitoso</t>
        </is>
      </c>
      <c r="J22" s="72" t="inlineStr">
        <is>
          <t>Media</t>
        </is>
      </c>
      <c r="K22" s="74" t="inlineStr">
        <is>
          <t>api\tests\unit\equipo\test_integrante_2_seguridad.py::test_extraer_token_con_bearer -&gt; 1 passed</t>
        </is>
      </c>
      <c r="L22" s="73" t="inlineStr">
        <is>
          <t>Sin defectos. Entrega del integrante: Sebastián Samacá.</t>
        </is>
      </c>
      <c r="M22" s="75" t="inlineStr">
        <is>
          <t>Sebastián Samacá</t>
        </is>
      </c>
    </row>
    <row r="23" ht="78" customHeight="1" s="45">
      <c r="A23" s="72" t="inlineStr">
        <is>
          <t>UNIT-016</t>
        </is>
      </c>
      <c r="B23" s="73" t="inlineStr">
        <is>
          <t>Seguridad / JWT: petición sin encabezado Authorization</t>
        </is>
      </c>
      <c r="C23" s="73" t="inlineStr">
        <is>
          <t>Sin servidor; RequestFactory simula la petición HTTP. Los casos con decoradores usan SQLite en memoria (fixture db).</t>
        </is>
      </c>
      <c r="D23" s="73" t="inlineStr">
        <is>
          <t>request GET /perfil/ sin HTTP_AUTHORIZATION</t>
        </is>
      </c>
      <c r="E23" s="73" t="inlineStr">
        <is>
          <t>1. Ejecutar: pytest api\tests\unit\equipo\test_integrante_2_seguridad.py::test_extraer_token_sin_encabezado_retorna_none
2. get_token_from_request(request)</t>
        </is>
      </c>
      <c r="F23" s="73" t="inlineStr">
        <is>
          <t>Devuelve None (no hay token).</t>
        </is>
      </c>
      <c r="G23" s="73" t="inlineStr">
        <is>
          <t>Aprobado: passed en la suite api/tests/unit/equipo (27/10/2026).</t>
        </is>
      </c>
      <c r="H23" s="73" t="inlineStr">
        <is>
          <t>Caja Blanca (unitaria) / Particiones de equivalencia</t>
        </is>
      </c>
      <c r="I23" s="72" t="inlineStr">
        <is>
          <t>Exitoso</t>
        </is>
      </c>
      <c r="J23" s="72" t="inlineStr">
        <is>
          <t>Media</t>
        </is>
      </c>
      <c r="K23" s="74" t="inlineStr">
        <is>
          <t>api\tests\unit\equipo\test_integrante_2_seguridad.py::test_extraer_token_sin_encabezado_retorna_none -&gt; 1 passed</t>
        </is>
      </c>
      <c r="L23" s="73" t="inlineStr">
        <is>
          <t>Sin defectos. Entrega del integrante: Sebastián Samacá.</t>
        </is>
      </c>
      <c r="M23" s="75" t="inlineStr">
        <is>
          <t>Sebastián Samacá</t>
        </is>
      </c>
    </row>
    <row r="24" ht="78" customHeight="1" s="45">
      <c r="A24" s="72" t="inlineStr">
        <is>
          <t>UNIT-017</t>
        </is>
      </c>
      <c r="B24" s="73" t="inlineStr">
        <is>
          <t>Seguridad / JWT: recuperación del id como entero</t>
        </is>
      </c>
      <c r="C24" s="73" t="inlineStr">
        <is>
          <t>Sin servidor; RequestFactory simula la petición HTTP. Los casos con decoradores usan SQLite en memoria (fixture db).</t>
        </is>
      </c>
      <c r="D24" s="73" t="inlineStr">
        <is>
          <t>token = generate_token(25) en el encabezado Bearer</t>
        </is>
      </c>
      <c r="E24" s="73" t="inlineStr">
        <is>
          <t>1. Ejecutar: pytest api\tests\unit\equipo\test_integrante_2_seguridad.py::test_get_current_user_id_devuelve_entero
2. get_current_user_id(request)</t>
        </is>
      </c>
      <c r="F24" s="73" t="inlineStr">
        <is>
          <t>Devuelve 25 (entero).</t>
        </is>
      </c>
      <c r="G24" s="73" t="inlineStr">
        <is>
          <t>Aprobado: passed en la suite api/tests/unit/equipo (27/10/2026).</t>
        </is>
      </c>
      <c r="H24" s="73" t="inlineStr">
        <is>
          <t>Caja Blanca (unitaria) / Camino feliz</t>
        </is>
      </c>
      <c r="I24" s="72" t="inlineStr">
        <is>
          <t>Exitoso</t>
        </is>
      </c>
      <c r="J24" s="72" t="inlineStr">
        <is>
          <t>Media</t>
        </is>
      </c>
      <c r="K24" s="74" t="inlineStr">
        <is>
          <t>api\tests\unit\equipo\test_integrante_2_seguridad.py::test_get_current_user_id_devuelve_entero -&gt; 1 passed</t>
        </is>
      </c>
      <c r="L24" s="73" t="inlineStr">
        <is>
          <t>Sin defectos. Entrega del integrante: Sebastián Samacá.</t>
        </is>
      </c>
      <c r="M24" s="75" t="inlineStr">
        <is>
          <t>Sebastián Samacá</t>
        </is>
      </c>
    </row>
    <row r="25" ht="78" customHeight="1" s="45">
      <c r="A25" s="72" t="inlineStr">
        <is>
          <t>UNIT-018</t>
        </is>
      </c>
      <c r="B25" s="73" t="inlineStr">
        <is>
          <t>Seguridad / Decorador @jwt_required_custom sin token</t>
        </is>
      </c>
      <c r="C25" s="73" t="inlineStr">
        <is>
          <t>Sin servidor; RequestFactory simula la petición HTTP. Los casos con decoradores usan SQLite en memoria (fixture db).</t>
        </is>
      </c>
      <c r="D25" s="73" t="inlineStr">
        <is>
          <t>request GET /perfil/ sin token; vista decorada</t>
        </is>
      </c>
      <c r="E25" s="73" t="inlineStr">
        <is>
          <t>1. Ejecutar: pytest api\tests\unit\equipo\test_integrante_2_seguridad.py::test_decorador_sin_token_responde_401
2. vista(request)</t>
        </is>
      </c>
      <c r="F25" s="73" t="inlineStr">
        <is>
          <t>HTTP 401 y la vista no se ejecuta.</t>
        </is>
      </c>
      <c r="G25" s="73" t="inlineStr">
        <is>
          <t>Aprobado: passed en la suite api/tests/unit/equipo (27/10/2026).</t>
        </is>
      </c>
      <c r="H25" s="73" t="inlineStr">
        <is>
          <t>Caja Blanca (unitaria) / Control de acceso</t>
        </is>
      </c>
      <c r="I25" s="72" t="inlineStr">
        <is>
          <t>Exitoso</t>
        </is>
      </c>
      <c r="J25" s="72" t="inlineStr">
        <is>
          <t>Alta</t>
        </is>
      </c>
      <c r="K25" s="74" t="inlineStr">
        <is>
          <t>api\tests\unit\equipo\test_integrante_2_seguridad.py::test_decorador_sin_token_responde_401 -&gt; 1 passed</t>
        </is>
      </c>
      <c r="L25" s="73" t="inlineStr">
        <is>
          <t>Sin defectos. Entrega del integrante: Sebastián Samacá.</t>
        </is>
      </c>
      <c r="M25" s="75" t="inlineStr">
        <is>
          <t>Sebastián Samacá</t>
        </is>
      </c>
    </row>
    <row r="26" ht="78" customHeight="1" s="45">
      <c r="A26" s="72" t="inlineStr">
        <is>
          <t>UNIT-019</t>
        </is>
      </c>
      <c r="B26" s="73" t="inlineStr">
        <is>
          <t>Seguridad / Decorador @admin_only con usuario customer</t>
        </is>
      </c>
      <c r="C26" s="73" t="inlineStr">
        <is>
          <t>Sin servidor; RequestFactory simula la petición HTTP. Los casos con decoradores usan SQLite en memoria (fixture db).</t>
        </is>
      </c>
      <c r="D26" s="73" t="inlineStr">
        <is>
          <t>UserFactory(role="customer"); token Bearer del cliente</t>
        </is>
      </c>
      <c r="E26" s="73" t="inlineStr">
        <is>
          <t>1. Ejecutar: pytest api\tests\unit\equipo\test_integrante_2_seguridad.py::test_admin_only_rechaza_a_un_cliente
2. vista(request)</t>
        </is>
      </c>
      <c r="F26" s="73" t="inlineStr">
        <is>
          <t>HTTP 403 (acceso denegado).</t>
        </is>
      </c>
      <c r="G26" s="73" t="inlineStr">
        <is>
          <t>Aprobado: passed en la suite api/tests/unit/equipo (27/10/2026).</t>
        </is>
      </c>
      <c r="H26" s="73" t="inlineStr">
        <is>
          <t>Caja Blanca (unitaria) / Control de acceso</t>
        </is>
      </c>
      <c r="I26" s="72" t="inlineStr">
        <is>
          <t>Exitoso</t>
        </is>
      </c>
      <c r="J26" s="72" t="inlineStr">
        <is>
          <t>Alta</t>
        </is>
      </c>
      <c r="K26" s="74" t="inlineStr">
        <is>
          <t>api\tests\unit\equipo\test_integrante_2_seguridad.py::test_admin_only_rechaza_a_un_cliente -&gt; 1 passed</t>
        </is>
      </c>
      <c r="L26" s="73" t="inlineStr">
        <is>
          <t>Sin defectos. Entrega del integrante: Sebastián Samacá.</t>
        </is>
      </c>
      <c r="M26" s="75" t="inlineStr">
        <is>
          <t>Sebastián Samacá</t>
        </is>
      </c>
    </row>
    <row r="27" ht="78" customHeight="1" s="45">
      <c r="A27" s="72" t="inlineStr">
        <is>
          <t>UNIT-020</t>
        </is>
      </c>
      <c r="B27" s="73" t="inlineStr">
        <is>
          <t>Seguridad / Decorador @jwt_optional sin token</t>
        </is>
      </c>
      <c r="C27" s="73" t="inlineStr">
        <is>
          <t>Sin servidor; RequestFactory simula la petición HTTP. Los casos con decoradores usan SQLite en memoria (fixture db).</t>
        </is>
      </c>
      <c r="D27" s="73" t="inlineStr">
        <is>
          <t>request GET /servicios/ sin token; vista decorada</t>
        </is>
      </c>
      <c r="E27" s="73" t="inlineStr">
        <is>
          <t>1. Ejecutar: pytest api\tests\unit\equipo\test_integrante_2_seguridad.py::test_jwt_optional_permite_peticion_sin_token
2. vista(request)</t>
        </is>
      </c>
      <c r="F27" s="73" t="inlineStr">
        <is>
          <t>HTTP 200 y request.jwt_user is None.</t>
        </is>
      </c>
      <c r="G27" s="73" t="inlineStr">
        <is>
          <t>Aprobado: passed en la suite api/tests/unit/equipo (27/10/2026).</t>
        </is>
      </c>
      <c r="H27" s="73" t="inlineStr">
        <is>
          <t>Caja Blanca (unitaria) / Camino alterno</t>
        </is>
      </c>
      <c r="I27" s="72" t="inlineStr">
        <is>
          <t>Exitoso</t>
        </is>
      </c>
      <c r="J27" s="72" t="inlineStr">
        <is>
          <t>Media</t>
        </is>
      </c>
      <c r="K27" s="74" t="inlineStr">
        <is>
          <t>api\tests\unit\equipo\test_integrante_2_seguridad.py::test_jwt_optional_permite_peticion_sin_token -&gt; 1 passed</t>
        </is>
      </c>
      <c r="L27" s="73" t="inlineStr">
        <is>
          <t>Sin defectos. Entrega del integrante: Sebastián Samacá.</t>
        </is>
      </c>
      <c r="M27" s="75" t="inlineStr">
        <is>
          <t>Sebastián Samacá</t>
        </is>
      </c>
    </row>
    <row r="28" ht="78" customHeight="1" s="45">
      <c r="A28" s="72" t="inlineStr">
        <is>
          <t>UNIT-021</t>
        </is>
      </c>
      <c r="B28" s="73" t="inlineStr">
        <is>
          <t>Citas / Transición de estado: pending -&gt; scheduled</t>
        </is>
      </c>
      <c r="C28" s="73" t="inlineStr">
        <is>
          <t>SQLite en memoria (pytest-django) y factories del proyecto. Fecha usada: lunes 02/11/2026.</t>
        </is>
      </c>
      <c r="D28" s="73" t="inlineStr">
        <is>
          <t>current_status = "pending"; new_status = "scheduled"</t>
        </is>
      </c>
      <c r="E28" s="73" t="inlineStr">
        <is>
          <t>1. Ejecutar: pytest api\tests\unit\equipo\test_integrante_3_citas.py::test_pendiente_puede_pasar_a_agendada
2. validate_appointment_transition("pending", "scheduled")</t>
        </is>
      </c>
      <c r="F28" s="73" t="inlineStr">
        <is>
          <t>Devuelve True (transición permitida).</t>
        </is>
      </c>
      <c r="G28" s="73" t="inlineStr">
        <is>
          <t>Aprobado: passed en la suite api/tests/unit/equipo (27/10/2026).</t>
        </is>
      </c>
      <c r="H28" s="73" t="inlineStr">
        <is>
          <t>Caja Blanca (unitaria) / Tabla de decisión</t>
        </is>
      </c>
      <c r="I28" s="72" t="inlineStr">
        <is>
          <t>Exitoso</t>
        </is>
      </c>
      <c r="J28" s="72" t="inlineStr">
        <is>
          <t>Alta</t>
        </is>
      </c>
      <c r="K28" s="74" t="inlineStr">
        <is>
          <t>api\tests\unit\equipo\test_integrante_3_citas.py::test_pendiente_puede_pasar_a_agendada -&gt; 1 passed</t>
        </is>
      </c>
      <c r="L28" s="73" t="inlineStr">
        <is>
          <t>Sin defectos. Entrega del integrante: Dairon Salazar.</t>
        </is>
      </c>
      <c r="M28" s="75" t="inlineStr">
        <is>
          <t>Dairon Salazar</t>
        </is>
      </c>
    </row>
    <row r="29" ht="78" customHeight="1" s="45">
      <c r="A29" s="72" t="inlineStr">
        <is>
          <t>UNIT-022</t>
        </is>
      </c>
      <c r="B29" s="73" t="inlineStr">
        <is>
          <t>Citas / Transición de estado: scheduled -&gt; in_progress</t>
        </is>
      </c>
      <c r="C29" s="73" t="inlineStr">
        <is>
          <t>SQLite en memoria (pytest-django) y factories del proyecto. Fecha usada: lunes 02/11/2026.</t>
        </is>
      </c>
      <c r="D29" s="73" t="inlineStr">
        <is>
          <t>current_status = "scheduled"; new_status = "in_progress"</t>
        </is>
      </c>
      <c r="E29" s="73" t="inlineStr">
        <is>
          <t>1. Ejecutar: pytest api\tests\unit\equipo\test_integrante_3_citas.py::test_agendada_puede_pasar_a_en_progreso
2. validate_appointment_transition("scheduled", "in_progress")</t>
        </is>
      </c>
      <c r="F29" s="73" t="inlineStr">
        <is>
          <t>Devuelve True (transición permitida).</t>
        </is>
      </c>
      <c r="G29" s="73" t="inlineStr">
        <is>
          <t>Aprobado: passed en la suite api/tests/unit/equipo (27/10/2026).</t>
        </is>
      </c>
      <c r="H29" s="73" t="inlineStr">
        <is>
          <t>Caja Blanca (unitaria) / Tabla de decisión</t>
        </is>
      </c>
      <c r="I29" s="72" t="inlineStr">
        <is>
          <t>Exitoso</t>
        </is>
      </c>
      <c r="J29" s="72" t="inlineStr">
        <is>
          <t>Alta</t>
        </is>
      </c>
      <c r="K29" s="74" t="inlineStr">
        <is>
          <t>api\tests\unit\equipo\test_integrante_3_citas.py::test_agendada_puede_pasar_a_en_progreso -&gt; 1 passed</t>
        </is>
      </c>
      <c r="L29" s="73" t="inlineStr">
        <is>
          <t>Sin defectos. Entrega del integrante: Dairon Salazar.</t>
        </is>
      </c>
      <c r="M29" s="75" t="inlineStr">
        <is>
          <t>Dairon Salazar</t>
        </is>
      </c>
    </row>
    <row r="30" ht="78" customHeight="1" s="45">
      <c r="A30" s="72" t="inlineStr">
        <is>
          <t>UNIT-023</t>
        </is>
      </c>
      <c r="B30" s="73" t="inlineStr">
        <is>
          <t>Citas / Transición de estado: completed -&gt; cancelled</t>
        </is>
      </c>
      <c r="C30" s="73" t="inlineStr">
        <is>
          <t>SQLite en memoria (pytest-django) y factories del proyecto. Fecha usada: lunes 02/11/2026.</t>
        </is>
      </c>
      <c r="D30" s="73" t="inlineStr">
        <is>
          <t>current_status = "completed"; new_status = "cancelled"</t>
        </is>
      </c>
      <c r="E30" s="73" t="inlineStr">
        <is>
          <t>1. Ejecutar: pytest api\tests\unit\equipo\test_integrante_3_citas.py::test_cita_completada_no_puede_cancelarse
2. validate_appointment_transition("completed", "cancelled")</t>
        </is>
      </c>
      <c r="F30" s="73" t="inlineStr">
        <is>
          <t>Devuelve False (estado final).</t>
        </is>
      </c>
      <c r="G30" s="73" t="inlineStr">
        <is>
          <t>Aprobado: passed en la suite api/tests/unit/equipo (27/10/2026).</t>
        </is>
      </c>
      <c r="H30" s="73" t="inlineStr">
        <is>
          <t>Caja Blanca (unitaria) / Tabla de decisión</t>
        </is>
      </c>
      <c r="I30" s="72" t="inlineStr">
        <is>
          <t>Exitoso</t>
        </is>
      </c>
      <c r="J30" s="72" t="inlineStr">
        <is>
          <t>Alta</t>
        </is>
      </c>
      <c r="K30" s="74" t="inlineStr">
        <is>
          <t>api\tests\unit\equipo\test_integrante_3_citas.py::test_cita_completada_no_puede_cancelarse -&gt; 1 passed</t>
        </is>
      </c>
      <c r="L30" s="73" t="inlineStr">
        <is>
          <t>Sin defectos. Entrega del integrante: Dairon Salazar.</t>
        </is>
      </c>
      <c r="M30" s="75" t="inlineStr">
        <is>
          <t>Dairon Salazar</t>
        </is>
      </c>
    </row>
    <row r="31" ht="78" customHeight="1" s="45">
      <c r="A31" s="72" t="inlineStr">
        <is>
          <t>UNIT-024</t>
        </is>
      </c>
      <c r="B31" s="73" t="inlineStr">
        <is>
          <t>Citas / Transición de estado: cancelled -&gt; scheduled</t>
        </is>
      </c>
      <c r="C31" s="73" t="inlineStr">
        <is>
          <t>SQLite en memoria (pytest-django) y factories del proyecto. Fecha usada: lunes 02/11/2026.</t>
        </is>
      </c>
      <c r="D31" s="73" t="inlineStr">
        <is>
          <t>current_status = "cancelled"; new_status = "scheduled"</t>
        </is>
      </c>
      <c r="E31" s="73" t="inlineStr">
        <is>
          <t>1. Ejecutar: pytest api\tests\unit\equipo\test_integrante_3_citas.py::test_cita_cancelada_no_puede_reabrirse
2. validate_appointment_transition("cancelled", "scheduled")</t>
        </is>
      </c>
      <c r="F31" s="73" t="inlineStr">
        <is>
          <t>Devuelve False (estado final).</t>
        </is>
      </c>
      <c r="G31" s="73" t="inlineStr">
        <is>
          <t>Aprobado: passed en la suite api/tests/unit/equipo (27/10/2026).</t>
        </is>
      </c>
      <c r="H31" s="73" t="inlineStr">
        <is>
          <t>Caja Blanca (unitaria) / Tabla de decisión</t>
        </is>
      </c>
      <c r="I31" s="72" t="inlineStr">
        <is>
          <t>Exitoso</t>
        </is>
      </c>
      <c r="J31" s="72" t="inlineStr">
        <is>
          <t>Alta</t>
        </is>
      </c>
      <c r="K31" s="74" t="inlineStr">
        <is>
          <t>api\tests\unit\equipo\test_integrante_3_citas.py::test_cita_cancelada_no_puede_reabrirse -&gt; 1 passed</t>
        </is>
      </c>
      <c r="L31" s="73" t="inlineStr">
        <is>
          <t>Sin defectos. Entrega del integrante: Dairon Salazar.</t>
        </is>
      </c>
      <c r="M31" s="75" t="inlineStr">
        <is>
          <t>Dairon Salazar</t>
        </is>
      </c>
    </row>
    <row r="32" ht="78" customHeight="1" s="45">
      <c r="A32" s="72" t="inlineStr">
        <is>
          <t>UNIT-025</t>
        </is>
      </c>
      <c r="B32" s="73" t="inlineStr">
        <is>
          <t>Citas / Horarios: fecha con formato inválido</t>
        </is>
      </c>
      <c r="C32" s="73" t="inlineStr">
        <is>
          <t>SQLite en memoria (pytest-django) y factories del proyecto. Fecha usada: lunes 02/11/2026.</t>
        </is>
      </c>
      <c r="D32" s="73" t="inlineStr">
        <is>
          <t>technician_id = 1; date_str = "02-11-2026"</t>
        </is>
      </c>
      <c r="E32" s="73" t="inlineStr">
        <is>
          <t>1. Ejecutar: pytest api\tests\unit\equipo\test_integrante_3_citas.py::test_fecha_invalida_no_genera_horarios
2. get_available_time_slots(1, "02-11-2026")</t>
        </is>
      </c>
      <c r="F32" s="73" t="inlineStr">
        <is>
          <t>Devuelve [] (lista vacía).</t>
        </is>
      </c>
      <c r="G32" s="73" t="inlineStr">
        <is>
          <t>Aprobado: passed en la suite api/tests/unit/equipo (27/10/2026).</t>
        </is>
      </c>
      <c r="H32" s="73" t="inlineStr">
        <is>
          <t>Manejo de excepciones / Dato inválido</t>
        </is>
      </c>
      <c r="I32" s="72" t="inlineStr">
        <is>
          <t>Exitoso</t>
        </is>
      </c>
      <c r="J32" s="72" t="inlineStr">
        <is>
          <t>Media</t>
        </is>
      </c>
      <c r="K32" s="74" t="inlineStr">
        <is>
          <t>api\tests\unit\equipo\test_integrante_3_citas.py::test_fecha_invalida_no_genera_horarios -&gt; 1 passed</t>
        </is>
      </c>
      <c r="L32" s="73" t="inlineStr">
        <is>
          <t>Sin defectos. Entrega del integrante: Dairon Salazar.</t>
        </is>
      </c>
      <c r="M32" s="75" t="inlineStr">
        <is>
          <t>Dairon Salazar</t>
        </is>
      </c>
    </row>
    <row r="33" ht="78" customHeight="1" s="45">
      <c r="A33" s="72" t="inlineStr">
        <is>
          <t>UNIT-026</t>
        </is>
      </c>
      <c r="B33" s="73" t="inlineStr">
        <is>
          <t>Citas / Horarios: usuario con rol customer</t>
        </is>
      </c>
      <c r="C33" s="73" t="inlineStr">
        <is>
          <t>SQLite en memoria (pytest-django) y factories del proyecto. Fecha usada: lunes 02/11/2026.</t>
        </is>
      </c>
      <c r="D33" s="73" t="inlineStr">
        <is>
          <t>cliente = UserFactory(role="customer")</t>
        </is>
      </c>
      <c r="E33" s="73" t="inlineStr">
        <is>
          <t>1. Ejecutar: pytest api\tests\unit\equipo\test_integrante_3_citas.py::test_usuario_que_no_es_tecnico_no_tiene_horarios
2. get_available_time_slots(cliente.id, "2026-11-02")</t>
        </is>
      </c>
      <c r="F33" s="73" t="inlineStr">
        <is>
          <t>Devuelve [] (solo los técnicos tienen agenda).</t>
        </is>
      </c>
      <c r="G33" s="73" t="inlineStr">
        <is>
          <t>Aprobado: passed en la suite api/tests/unit/equipo (27/10/2026).</t>
        </is>
      </c>
      <c r="H33" s="73" t="inlineStr">
        <is>
          <t>Caja Blanca (unitaria) / Particiones de equivalencia</t>
        </is>
      </c>
      <c r="I33" s="72" t="inlineStr">
        <is>
          <t>Exitoso</t>
        </is>
      </c>
      <c r="J33" s="72" t="inlineStr">
        <is>
          <t>Media</t>
        </is>
      </c>
      <c r="K33" s="74" t="inlineStr">
        <is>
          <t>api\tests\unit\equipo\test_integrante_3_citas.py::test_usuario_que_no_es_tecnico_no_tiene_horarios -&gt; 1 passed</t>
        </is>
      </c>
      <c r="L33" s="73" t="inlineStr">
        <is>
          <t>Sin defectos. Entrega del integrante: Dairon Salazar.</t>
        </is>
      </c>
      <c r="M33" s="75" t="inlineStr">
        <is>
          <t>Dairon Salazar</t>
        </is>
      </c>
    </row>
    <row r="34" ht="78" customHeight="1" s="45">
      <c r="A34" s="72" t="inlineStr">
        <is>
          <t>UNIT-027</t>
        </is>
      </c>
      <c r="B34" s="73" t="inlineStr">
        <is>
          <t>Citas / Horarios: jornada laboral de 8:00 a 18:00</t>
        </is>
      </c>
      <c r="C34" s="73" t="inlineStr">
        <is>
          <t>SQLite en memoria (pytest-django) y factories del proyecto. Fecha usada: lunes 02/11/2026.</t>
        </is>
      </c>
      <c r="D34" s="73" t="inlineStr">
        <is>
          <t>tecnico = TechnicianProfileFactory().user; fecha = 2026-11-02</t>
        </is>
      </c>
      <c r="E34" s="73" t="inlineStr">
        <is>
          <t>1. Ejecutar: pytest api\tests\unit\equipo\test_integrante_3_citas.py::test_jornada_laboral_genera_diez_franjas
2. get_available_time_slots(tecnico.id, "2026-11-02")</t>
        </is>
      </c>
      <c r="F34" s="73" t="inlineStr">
        <is>
          <t>10 franjas; primera 08:00 y última 17:00.</t>
        </is>
      </c>
      <c r="G34" s="73" t="inlineStr">
        <is>
          <t>Aprobado: passed en la suite api/tests/unit/equipo (27/10/2026).</t>
        </is>
      </c>
      <c r="H34" s="73" t="inlineStr">
        <is>
          <t>Valores límite (BVA) / Horario</t>
        </is>
      </c>
      <c r="I34" s="72" t="inlineStr">
        <is>
          <t>Exitoso</t>
        </is>
      </c>
      <c r="J34" s="72" t="inlineStr">
        <is>
          <t>Alta</t>
        </is>
      </c>
      <c r="K34" s="74" t="inlineStr">
        <is>
          <t>api\tests\unit\equipo\test_integrante_3_citas.py::test_jornada_laboral_genera_diez_franjas -&gt; 1 passed</t>
        </is>
      </c>
      <c r="L34" s="73" t="inlineStr">
        <is>
          <t>Sin defectos. Entrega del integrante: Dairon Salazar.</t>
        </is>
      </c>
      <c r="M34" s="75" t="inlineStr">
        <is>
          <t>Dairon Salazar</t>
        </is>
      </c>
    </row>
    <row r="35" ht="78" customHeight="1" s="45">
      <c r="A35" s="72" t="inlineStr">
        <is>
          <t>UNIT-028</t>
        </is>
      </c>
      <c r="B35" s="73" t="inlineStr">
        <is>
          <t>Citas / Horarios: franja ocupada por otra cita</t>
        </is>
      </c>
      <c r="C35" s="73" t="inlineStr">
        <is>
          <t>SQLite en memoria (pytest-django) y factories del proyecto. Fecha usada: lunes 02/11/2026.</t>
        </is>
      </c>
      <c r="D35" s="73" t="inlineStr">
        <is>
          <t>AppointmentFactory(tecnico, 2026-11-02, "09:00", "scheduled")</t>
        </is>
      </c>
      <c r="E35" s="73" t="inlineStr">
        <is>
          <t>1. Ejecutar: pytest api\tests\unit\equipo\test_integrante_3_citas.py::test_hora_ocupada_no_se_ofrece
2. get_available_time_slots(tecnico.id, "2026-11-02")</t>
        </is>
      </c>
      <c r="F35" s="73" t="inlineStr">
        <is>
          <t>"09:00" no está en la lista y quedan 9 franjas.</t>
        </is>
      </c>
      <c r="G35" s="73" t="inlineStr">
        <is>
          <t>Aprobado: passed en la suite api/tests/unit/equipo (27/10/2026).</t>
        </is>
      </c>
      <c r="H35" s="73" t="inlineStr">
        <is>
          <t>Caja Blanca (unitaria) / Conflicto de agenda</t>
        </is>
      </c>
      <c r="I35" s="72" t="inlineStr">
        <is>
          <t>Exitoso</t>
        </is>
      </c>
      <c r="J35" s="72" t="inlineStr">
        <is>
          <t>Alta</t>
        </is>
      </c>
      <c r="K35" s="74" t="inlineStr">
        <is>
          <t>api\tests\unit\equipo\test_integrante_3_citas.py::test_hora_ocupada_no_se_ofrece -&gt; 1 passed</t>
        </is>
      </c>
      <c r="L35" s="73" t="inlineStr">
        <is>
          <t>Sin defectos. Entrega del integrante: Dairon Salazar.</t>
        </is>
      </c>
      <c r="M35" s="75" t="inlineStr">
        <is>
          <t>Dairon Salazar</t>
        </is>
      </c>
    </row>
    <row r="36" ht="78" customHeight="1" s="45">
      <c r="A36" s="72" t="inlineStr">
        <is>
          <t>UNIT-029</t>
        </is>
      </c>
      <c r="B36" s="73" t="inlineStr">
        <is>
          <t>Citas / Disponibilidad: técnico activo, en horario y sin choques</t>
        </is>
      </c>
      <c r="C36" s="73" t="inlineStr">
        <is>
          <t>SQLite en memoria (pytest-django) y factories del proyecto. Fecha usada: lunes 02/11/2026.</t>
        </is>
      </c>
      <c r="D36" s="73" t="inlineStr">
        <is>
          <t>tecnico activo con horario 8-18; sin citas ese día</t>
        </is>
      </c>
      <c r="E36" s="73" t="inlineStr">
        <is>
          <t>1. Ejecutar: pytest api\tests\unit\equipo\test_integrante_3_citas.py::test_tecnico_libre_esta_disponible
2. check_technician_availability(tecnico.id, "2026-11-02", "09:00")</t>
        </is>
      </c>
      <c r="F36" s="73" t="inlineStr">
        <is>
          <t>disponible=True; mensaje=None; devuelve el técnico.</t>
        </is>
      </c>
      <c r="G36" s="73" t="inlineStr">
        <is>
          <t>Aprobado: passed en la suite api/tests/unit/equipo (27/10/2026).</t>
        </is>
      </c>
      <c r="H36" s="73" t="inlineStr">
        <is>
          <t>Caja Blanca (unitaria) / Camino feliz</t>
        </is>
      </c>
      <c r="I36" s="72" t="inlineStr">
        <is>
          <t>Exitoso</t>
        </is>
      </c>
      <c r="J36" s="72" t="inlineStr">
        <is>
          <t>Alta</t>
        </is>
      </c>
      <c r="K36" s="74" t="inlineStr">
        <is>
          <t>api\tests\unit\equipo\test_integrante_3_citas.py::test_tecnico_libre_esta_disponible -&gt; 1 passed</t>
        </is>
      </c>
      <c r="L36" s="73" t="inlineStr">
        <is>
          <t>Sin defectos. Entrega del integrante: Dairon Salazar.</t>
        </is>
      </c>
      <c r="M36" s="75" t="inlineStr">
        <is>
          <t>Dairon Salazar</t>
        </is>
      </c>
    </row>
    <row r="37" ht="78" customHeight="1" s="45">
      <c r="A37" s="72" t="inlineStr">
        <is>
          <t>UNIT-030</t>
        </is>
      </c>
      <c r="B37" s="73" t="inlineStr">
        <is>
          <t>Citas / Disponibilidad: hora anterior al horario de atención</t>
        </is>
      </c>
      <c r="C37" s="73" t="inlineStr">
        <is>
          <t>SQLite en memoria (pytest-django) y factories del proyecto. Fecha usada: lunes 02/11/2026.</t>
        </is>
      </c>
      <c r="D37" s="73" t="inlineStr">
        <is>
          <t>mismo técnico; hora = "07:00" (antes de las 8:00)</t>
        </is>
      </c>
      <c r="E37" s="73" t="inlineStr">
        <is>
          <t>1. Ejecutar: pytest api\tests\unit\equipo\test_integrante_3_citas.py::test_tecnico_fuera_de_horario_no_esta_disponible
2. check_technician_availability(tecnico.id, "2026-11-02", "07:00")</t>
        </is>
      </c>
      <c r="F37" s="73" t="inlineStr">
        <is>
          <t>disponible=False; mensaje contiene 'horario'; técnico=None.</t>
        </is>
      </c>
      <c r="G37" s="73" t="inlineStr">
        <is>
          <t>Aprobado: passed en la suite api/tests/unit/equipo (27/10/2026).</t>
        </is>
      </c>
      <c r="H37" s="73" t="inlineStr">
        <is>
          <t>Valores límite (BVA) / Horario</t>
        </is>
      </c>
      <c r="I37" s="72" t="inlineStr">
        <is>
          <t>Exitoso</t>
        </is>
      </c>
      <c r="J37" s="72" t="inlineStr">
        <is>
          <t>Alta</t>
        </is>
      </c>
      <c r="K37" s="74" t="inlineStr">
        <is>
          <t>api\tests\unit\equipo\test_integrante_3_citas.py::test_tecnico_fuera_de_horario_no_esta_disponible -&gt; 1 passed</t>
        </is>
      </c>
      <c r="L37" s="73" t="inlineStr">
        <is>
          <t>Sin defectos. Entrega del integrante: Dairon Salazar.</t>
        </is>
      </c>
      <c r="M37" s="75" t="inlineStr">
        <is>
          <t>Dairon Salazar</t>
        </is>
      </c>
    </row>
    <row r="38" ht="78" customHeight="1" s="45">
      <c r="A38" s="72" t="inlineStr">
        <is>
          <t>UNIT-031</t>
        </is>
      </c>
      <c r="B38" s="73" t="inlineStr">
        <is>
          <t>Perfil / Registro de un atributo nuevo</t>
        </is>
      </c>
      <c r="C38" s="73" t="inlineStr">
        <is>
          <t>SQLite en memoria (pytest-django) y factories del proyecto. Sin servicios externos.</t>
        </is>
      </c>
      <c r="D38" s="73" t="inlineStr">
        <is>
          <t>record_attribute("user", 1, "ciudad", "Bogota")</t>
        </is>
      </c>
      <c r="E38" s="73" t="inlineStr">
        <is>
          <t>1. Ejecutar: pytest api\tests\unit\equipo\test_integrante_4_datos.py::test_record_attribute_guarda_el_valor
2. record_attribute(...); get_entity_attributes("user", 1)</t>
        </is>
      </c>
      <c r="F38" s="73" t="inlineStr">
        <is>
          <t>True; attribute_value == 'Bogota'; source == 'explicit_user_input'.</t>
        </is>
      </c>
      <c r="G38" s="73" t="inlineStr">
        <is>
          <t>Aprobado: passed en la suite api/tests/unit/equipo (27/10/2026).</t>
        </is>
      </c>
      <c r="H38" s="73" t="inlineStr">
        <is>
          <t>Caja Blanca (unitaria) / Camino feliz</t>
        </is>
      </c>
      <c r="I38" s="72" t="inlineStr">
        <is>
          <t>Exitoso</t>
        </is>
      </c>
      <c r="J38" s="72" t="inlineStr">
        <is>
          <t>Alta</t>
        </is>
      </c>
      <c r="K38" s="74" t="inlineStr">
        <is>
          <t>api\tests\unit\equipo\test_integrante_4_datos.py::test_record_attribute_guarda_el_valor -&gt; 1 passed</t>
        </is>
      </c>
      <c r="L38" s="73" t="inlineStr">
        <is>
          <t>Sin defectos. Entrega del integrante: Kevin Pinzón.</t>
        </is>
      </c>
      <c r="M38" s="75" t="inlineStr">
        <is>
          <t>Kevin Pinzón</t>
        </is>
      </c>
    </row>
    <row r="39" ht="78" customHeight="1" s="45">
      <c r="A39" s="72" t="inlineStr">
        <is>
          <t>UNIT-032</t>
        </is>
      </c>
      <c r="B39" s="73" t="inlineStr">
        <is>
          <t>Perfil / Upsert de un atributo existente</t>
        </is>
      </c>
      <c r="C39" s="73" t="inlineStr">
        <is>
          <t>SQLite en memoria (pytest-django) y factories del proyecto. Sin servicios externos.</t>
        </is>
      </c>
      <c r="D39" s="73" t="inlineStr">
        <is>
          <t>dos llamadas: "Bogota" y luego "Medellin" para la misma clave</t>
        </is>
      </c>
      <c r="E39" s="73" t="inlineStr">
        <is>
          <t>1. Ejecutar: pytest api\tests\unit\equipo\test_integrante_4_datos.py::test_record_attribute_actualiza_si_ya_existe
2. record_attribute(...) dos veces; get_entity_attributes(...)</t>
        </is>
      </c>
      <c r="F39" s="73" t="inlineStr">
        <is>
          <t>attribute_value == 'Medellin'; solo 1 fila en la tabla.</t>
        </is>
      </c>
      <c r="G39" s="73" t="inlineStr">
        <is>
          <t>Aprobado: passed en la suite api/tests/unit/equipo (27/10/2026).</t>
        </is>
      </c>
      <c r="H39" s="73" t="inlineStr">
        <is>
          <t>Caja Blanca (unitaria) / Upsert</t>
        </is>
      </c>
      <c r="I39" s="72" t="inlineStr">
        <is>
          <t>Exitoso</t>
        </is>
      </c>
      <c r="J39" s="72" t="inlineStr">
        <is>
          <t>Alta</t>
        </is>
      </c>
      <c r="K39" s="74" t="inlineStr">
        <is>
          <t>api\tests\unit\equipo\test_integrante_4_datos.py::test_record_attribute_actualiza_si_ya_existe -&gt; 1 passed</t>
        </is>
      </c>
      <c r="L39" s="73" t="inlineStr">
        <is>
          <t>Sin defectos. Entrega del integrante: Kevin Pinzón.</t>
        </is>
      </c>
      <c r="M39" s="75" t="inlineStr">
        <is>
          <t>Kevin Pinzón</t>
        </is>
      </c>
    </row>
    <row r="40" ht="78" customHeight="1" s="45">
      <c r="A40" s="72" t="inlineStr">
        <is>
          <t>UNIT-033</t>
        </is>
      </c>
      <c r="B40" s="73" t="inlineStr">
        <is>
          <t>Perfil / Validación de la fuente del atributo</t>
        </is>
      </c>
      <c r="C40" s="73" t="inlineStr">
        <is>
          <t>SQLite en memoria (pytest-django) y factories del proyecto. Sin servicios externos.</t>
        </is>
      </c>
      <c r="D40" s="73" t="inlineStr">
        <is>
          <t>source = "whatsapp" (fuera de VALID_SOURCES)</t>
        </is>
      </c>
      <c r="E40" s="73" t="inlineStr">
        <is>
          <t>1. Ejecutar: pytest api\tests\unit\equipo\test_integrante_4_datos.py::test_record_attribute_rechaza_fuente_invalida
2. record_attribute(..., source="whatsapp")</t>
        </is>
      </c>
      <c r="F40" s="73" t="inlineStr">
        <is>
          <t>Lanza ValueError con mensaje 'Fuente'.</t>
        </is>
      </c>
      <c r="G40" s="73" t="inlineStr">
        <is>
          <t>Aprobado: passed en la suite api/tests/unit/equipo (27/10/2026).</t>
        </is>
      </c>
      <c r="H40" s="73" t="inlineStr">
        <is>
          <t>Manejo de excepciones / Dato inválido</t>
        </is>
      </c>
      <c r="I40" s="72" t="inlineStr">
        <is>
          <t>Exitoso</t>
        </is>
      </c>
      <c r="J40" s="72" t="inlineStr">
        <is>
          <t>Media</t>
        </is>
      </c>
      <c r="K40" s="74" t="inlineStr">
        <is>
          <t>api\tests\unit\equipo\test_integrante_4_datos.py::test_record_attribute_rechaza_fuente_invalida -&gt; 1 passed</t>
        </is>
      </c>
      <c r="L40" s="73" t="inlineStr">
        <is>
          <t>Sin defectos. Entrega del integrante: Kevin Pinzón.</t>
        </is>
      </c>
      <c r="M40" s="75" t="inlineStr">
        <is>
          <t>Kevin Pinzón</t>
        </is>
      </c>
    </row>
    <row r="41" ht="78" customHeight="1" s="45">
      <c r="A41" s="72" t="inlineStr">
        <is>
          <t>UNIT-034</t>
        </is>
      </c>
      <c r="B41" s="73" t="inlineStr">
        <is>
          <t>Perfil / Validación del nivel de confianza</t>
        </is>
      </c>
      <c r="C41" s="73" t="inlineStr">
        <is>
          <t>SQLite en memoria (pytest-django) y factories del proyecto. Sin servicios externos.</t>
        </is>
      </c>
      <c r="D41" s="73" t="inlineStr">
        <is>
          <t>confidence = 1.5 (fuera de [0.0, 1.0])</t>
        </is>
      </c>
      <c r="E41" s="73" t="inlineStr">
        <is>
          <t>1. Ejecutar: pytest api\tests\unit\equipo\test_integrante_4_datos.py::test_record_attribute_rechaza_confianza_fuera_de_rango
2. record_attribute(..., confidence=1.5)</t>
        </is>
      </c>
      <c r="F41" s="73" t="inlineStr">
        <is>
          <t>Lanza ValueError con mensaje 'Confianza'.</t>
        </is>
      </c>
      <c r="G41" s="73" t="inlineStr">
        <is>
          <t>Aprobado: passed en la suite api/tests/unit/equipo (27/10/2026).</t>
        </is>
      </c>
      <c r="H41" s="73" t="inlineStr">
        <is>
          <t>Valores límite (BVA) / Rango</t>
        </is>
      </c>
      <c r="I41" s="72" t="inlineStr">
        <is>
          <t>Exitoso</t>
        </is>
      </c>
      <c r="J41" s="72" t="inlineStr">
        <is>
          <t>Media</t>
        </is>
      </c>
      <c r="K41" s="74" t="inlineStr">
        <is>
          <t>api\tests\unit\equipo\test_integrante_4_datos.py::test_record_attribute_rechaza_confianza_fuera_de_rango -&gt; 1 passed</t>
        </is>
      </c>
      <c r="L41" s="73" t="inlineStr">
        <is>
          <t>Sin defectos. Entrega del integrante: Kevin Pinzón.</t>
        </is>
      </c>
      <c r="M41" s="75" t="inlineStr">
        <is>
          <t>Kevin Pinzón</t>
        </is>
      </c>
    </row>
    <row r="42" ht="78" customHeight="1" s="45">
      <c r="A42" s="72" t="inlineStr">
        <is>
          <t>UNIT-035</t>
        </is>
      </c>
      <c r="B42" s="73" t="inlineStr">
        <is>
          <t>Perfil / Eliminación de atributos de una entidad</t>
        </is>
      </c>
      <c r="C42" s="73" t="inlineStr">
        <is>
          <t>SQLite en memoria (pytest-django) y factories del proyecto. Sin servicios externos.</t>
        </is>
      </c>
      <c r="D42" s="73" t="inlineStr">
        <is>
          <t>dos atributos registrados para user:1</t>
        </is>
      </c>
      <c r="E42" s="73" t="inlineStr">
        <is>
          <t>1. Ejecutar: pytest api\tests\unit\equipo\test_integrante_4_datos.py::test_delete_entity_attributes_elimina_los_atributos
2. delete_entity_attributes("user", 1)</t>
        </is>
      </c>
      <c r="F42" s="73" t="inlineStr">
        <is>
          <t>Retorna 2; get_entity_attributes(user, 1) == {}.</t>
        </is>
      </c>
      <c r="G42" s="73" t="inlineStr">
        <is>
          <t>Aprobado: passed en la suite api/tests/unit/equipo (27/10/2026).</t>
        </is>
      </c>
      <c r="H42" s="73" t="inlineStr">
        <is>
          <t>Caja Blanca (unitaria) / Camino feliz</t>
        </is>
      </c>
      <c r="I42" s="72" t="inlineStr">
        <is>
          <t>Exitoso</t>
        </is>
      </c>
      <c r="J42" s="72" t="inlineStr">
        <is>
          <t>Media</t>
        </is>
      </c>
      <c r="K42" s="74" t="inlineStr">
        <is>
          <t>api\tests\unit\equipo\test_integrante_4_datos.py::test_delete_entity_attributes_elimina_los_atributos -&gt; 1 passed</t>
        </is>
      </c>
      <c r="L42" s="73" t="inlineStr">
        <is>
          <t>Sin defectos. Entrega del integrante: Kevin Pinzón.</t>
        </is>
      </c>
      <c r="M42" s="75" t="inlineStr">
        <is>
          <t>Kevin Pinzón</t>
        </is>
      </c>
    </row>
    <row r="43" ht="78" customHeight="1" s="45">
      <c r="A43" s="72" t="inlineStr">
        <is>
          <t>UNIT-036</t>
        </is>
      </c>
      <c r="B43" s="73" t="inlineStr">
        <is>
          <t>Eventos / Registro de un evento válido</t>
        </is>
      </c>
      <c r="C43" s="73" t="inlineStr">
        <is>
          <t>SQLite en memoria (pytest-django) y factories del proyecto. Sin servicios externos.</t>
        </is>
      </c>
      <c r="D43" s="73" t="inlineStr">
        <is>
          <t>track_event("SEARCH_PERFORMED", service, 3, {"texto": "fuga de agua"})</t>
        </is>
      </c>
      <c r="E43" s="73" t="inlineStr">
        <is>
          <t>1. Ejecutar: pytest api\tests\unit\equipo\test_integrante_4_datos.py::test_track_event_crea_el_evento
2. track_event(...)</t>
        </is>
      </c>
      <c r="F43" s="73" t="inlineStr">
        <is>
          <t>Evento creado; event_type correcto; AppEvent.count() == 1.</t>
        </is>
      </c>
      <c r="G43" s="73" t="inlineStr">
        <is>
          <t>Aprobado: passed en la suite api/tests/unit/equipo (27/10/2026).</t>
        </is>
      </c>
      <c r="H43" s="73" t="inlineStr">
        <is>
          <t>Caja Blanca (unitaria) / Camino feliz</t>
        </is>
      </c>
      <c r="I43" s="72" t="inlineStr">
        <is>
          <t>Exitoso</t>
        </is>
      </c>
      <c r="J43" s="72" t="inlineStr">
        <is>
          <t>Alta</t>
        </is>
      </c>
      <c r="K43" s="74" t="inlineStr">
        <is>
          <t>api\tests\unit\equipo\test_integrante_4_datos.py::test_track_event_crea_el_evento -&gt; 1 passed</t>
        </is>
      </c>
      <c r="L43" s="73" t="inlineStr">
        <is>
          <t>Sin defectos. Entrega del integrante: Kevin Pinzón.</t>
        </is>
      </c>
      <c r="M43" s="75" t="inlineStr">
        <is>
          <t>Kevin Pinzón</t>
        </is>
      </c>
    </row>
    <row r="44" ht="78" customHeight="1" s="45">
      <c r="A44" s="72" t="inlineStr">
        <is>
          <t>UNIT-037</t>
        </is>
      </c>
      <c r="B44" s="73" t="inlineStr">
        <is>
          <t>Eventos / Evento con tipo desconocido (modo no estricto)</t>
        </is>
      </c>
      <c r="C44" s="73" t="inlineStr">
        <is>
          <t>SQLite en memoria (pytest-django) y factories del proyecto. Sin servicios externos.</t>
        </is>
      </c>
      <c r="D44" s="73" t="inlineStr">
        <is>
          <t>track_event("EVENTO_QUE_NO_EXISTE")</t>
        </is>
      </c>
      <c r="E44" s="73" t="inlineStr">
        <is>
          <t>1. Ejecutar: pytest api\tests\unit\equipo\test_integrante_4_datos.py::test_track_event_invalido_retorna_none
2. track_event(...)</t>
        </is>
      </c>
      <c r="F44" s="73" t="inlineStr">
        <is>
          <t>Devuelve None y no crea filas.</t>
        </is>
      </c>
      <c r="G44" s="73" t="inlineStr">
        <is>
          <t>Aprobado: passed en la suite api/tests/unit/equipo (27/10/2026).</t>
        </is>
      </c>
      <c r="H44" s="73" t="inlineStr">
        <is>
          <t>Manejo de excepciones / Dato inválido</t>
        </is>
      </c>
      <c r="I44" s="72" t="inlineStr">
        <is>
          <t>Exitoso</t>
        </is>
      </c>
      <c r="J44" s="72" t="inlineStr">
        <is>
          <t>Media</t>
        </is>
      </c>
      <c r="K44" s="74" t="inlineStr">
        <is>
          <t>api\tests\unit\equipo\test_integrante_4_datos.py::test_track_event_invalido_retorna_none -&gt; 1 passed</t>
        </is>
      </c>
      <c r="L44" s="73" t="inlineStr">
        <is>
          <t>Sin defectos. Entrega del integrante: Kevin Pinzón.</t>
        </is>
      </c>
      <c r="M44" s="75" t="inlineStr">
        <is>
          <t>Kevin Pinzón</t>
        </is>
      </c>
    </row>
    <row r="45" ht="78" customHeight="1" s="45">
      <c r="A45" s="72" t="inlineStr">
        <is>
          <t>UNIT-038</t>
        </is>
      </c>
      <c r="B45" s="73" t="inlineStr">
        <is>
          <t>Eventos / Evento inválido en modo estricto</t>
        </is>
      </c>
      <c r="C45" s="73" t="inlineStr">
        <is>
          <t>SQLite en memoria (pytest-django) y factories del proyecto. Sin servicios externos.</t>
        </is>
      </c>
      <c r="D45" s="73" t="inlineStr">
        <is>
          <t>track_event("EVENTO_QUE_NO_EXISTE", strict=True)</t>
        </is>
      </c>
      <c r="E45" s="73" t="inlineStr">
        <is>
          <t>1. Ejecutar: pytest api\tests\unit\equipo\test_integrante_4_datos.py::test_track_event_invalido_en_modo_estricto_lanza_error
2. track_event(..., strict=True)</t>
        </is>
      </c>
      <c r="F45" s="73" t="inlineStr">
        <is>
          <t>Lanza ValueError con mensaje 'inválido'.</t>
        </is>
      </c>
      <c r="G45" s="73" t="inlineStr">
        <is>
          <t>Aprobado: passed en la suite api/tests/unit/equipo (27/10/2026).</t>
        </is>
      </c>
      <c r="H45" s="73" t="inlineStr">
        <is>
          <t>Manejo de excepciones / Modo estricto</t>
        </is>
      </c>
      <c r="I45" s="72" t="inlineStr">
        <is>
          <t>Exitoso</t>
        </is>
      </c>
      <c r="J45" s="72" t="inlineStr">
        <is>
          <t>Media</t>
        </is>
      </c>
      <c r="K45" s="74" t="inlineStr">
        <is>
          <t>api\tests\unit\equipo\test_integrante_4_datos.py::test_track_event_invalido_en_modo_estricto_lanza_error -&gt; 1 passed</t>
        </is>
      </c>
      <c r="L45" s="73" t="inlineStr">
        <is>
          <t>Sin defectos. Entrega del integrante: Kevin Pinzón.</t>
        </is>
      </c>
      <c r="M45" s="75" t="inlineStr">
        <is>
          <t>Kevin Pinzón</t>
        </is>
      </c>
    </row>
    <row r="46" ht="78" customHeight="1" s="45">
      <c r="A46" s="72" t="inlineStr">
        <is>
          <t>UNIT-039</t>
        </is>
      </c>
      <c r="B46" s="73" t="inlineStr">
        <is>
          <t>Recomendaciones / Registro del clic del usuario</t>
        </is>
      </c>
      <c r="C46" s="73" t="inlineStr">
        <is>
          <t>SQLite en memoria (pytest-django) y factories del proyecto. Sin servicios externos.</t>
        </is>
      </c>
      <c r="D46" s="73" t="inlineStr">
        <is>
          <t>usuario = UserFactory(); recomendacion = RecommendationEventFactory(user=usuario)</t>
        </is>
      </c>
      <c r="E46" s="73" t="inlineStr">
        <is>
          <t>1. Ejecutar: pytest api\tests\unit\equipo\test_integrante_4_datos.py::test_click_en_recomendacion_se_registra
2. track_recommendation_click(recomendacion.id, usuario.id)</t>
        </is>
      </c>
      <c r="F46" s="73" t="inlineStr">
        <is>
          <t>True; clicked_at no es None; AppEvent SERVICE_CLICKED == 1.</t>
        </is>
      </c>
      <c r="G46" s="73" t="inlineStr">
        <is>
          <t>Aprobado: passed en la suite api/tests/unit/equipo (27/10/2026).</t>
        </is>
      </c>
      <c r="H46" s="73" t="inlineStr">
        <is>
          <t>Caja Blanca (unitaria) / Camino feliz</t>
        </is>
      </c>
      <c r="I46" s="72" t="inlineStr">
        <is>
          <t>Exitoso</t>
        </is>
      </c>
      <c r="J46" s="72" t="inlineStr">
        <is>
          <t>Alta</t>
        </is>
      </c>
      <c r="K46" s="74" t="inlineStr">
        <is>
          <t>api\tests\unit\equipo\test_integrante_4_datos.py::test_click_en_recomendacion_se_registra -&gt; 1 passed</t>
        </is>
      </c>
      <c r="L46" s="73" t="inlineStr">
        <is>
          <t>Sin defectos. Entrega del integrante: Kevin Pinzón.</t>
        </is>
      </c>
      <c r="M46" s="75" t="inlineStr">
        <is>
          <t>Kevin Pinzón</t>
        </is>
      </c>
    </row>
    <row r="47" ht="78" customHeight="1" s="45">
      <c r="A47" s="72" t="inlineStr">
        <is>
          <t>UNIT-040</t>
        </is>
      </c>
      <c r="B47" s="73" t="inlineStr">
        <is>
          <t>Recomendaciones / Límite de resultados devueltos</t>
        </is>
      </c>
      <c r="C47" s="73" t="inlineStr">
        <is>
          <t>SQLite en memoria (pytest-django) y factories del proyecto. Sin servicios externos.</t>
        </is>
      </c>
      <c r="D47" s="73" t="inlineStr">
        <is>
          <t>ServiceFactory.create_batch(3); limit = 2</t>
        </is>
      </c>
      <c r="E47" s="73" t="inlineStr">
        <is>
          <t>1. Ejecutar: pytest api\tests\unit\equipo\test_integrante_4_datos.py::test_generate_recommendations_respeta_el_limite
2. generate_recommendations(user_id=None, limit=2)</t>
        </is>
      </c>
      <c r="F47" s="73" t="inlineStr">
        <is>
          <t>len(resultado) == 2.</t>
        </is>
      </c>
      <c r="G47" s="73" t="inlineStr">
        <is>
          <t>Aprobado: passed en la suite api/tests/unit/equipo (27/10/2026).</t>
        </is>
      </c>
      <c r="H47" s="73" t="inlineStr">
        <is>
          <t>Valores límite (BVA) / Límite</t>
        </is>
      </c>
      <c r="I47" s="72" t="inlineStr">
        <is>
          <t>Exitoso</t>
        </is>
      </c>
      <c r="J47" s="72" t="inlineStr">
        <is>
          <t>Media</t>
        </is>
      </c>
      <c r="K47" s="74" t="inlineStr">
        <is>
          <t>api\tests\unit\equipo\test_integrante_4_datos.py::test_generate_recommendations_respeta_el_limite -&gt; 1 passed</t>
        </is>
      </c>
      <c r="L47" s="73" t="inlineStr">
        <is>
          <t>Sin defectos. Entrega del integrante: Kevin Pinzón.</t>
        </is>
      </c>
      <c r="M47" s="75" t="inlineStr">
        <is>
          <t>Kevin Pinzón</t>
        </is>
      </c>
    </row>
    <row r="48" ht="78" customHeight="1" s="45"/>
    <row r="49" ht="78" customHeight="1" s="45"/>
    <row r="50" ht="78" customHeight="1" s="45"/>
    <row r="51" ht="78" customHeight="1" s="45"/>
    <row r="52" ht="78" customHeight="1" s="45"/>
    <row r="53" ht="78" customHeight="1" s="45"/>
    <row r="54" ht="78" customHeight="1" s="45"/>
    <row r="55" ht="78" customHeight="1" s="45"/>
    <row r="56" ht="78" customHeight="1" s="45"/>
    <row r="57" ht="78" customHeight="1" s="45"/>
    <row r="58" ht="78" customHeight="1" s="45"/>
    <row r="59" ht="78" customHeight="1" s="45"/>
    <row r="60" ht="78" customHeight="1" s="45"/>
    <row r="61" ht="78" customHeight="1" s="45"/>
    <row r="62" ht="78" customHeight="1" s="45"/>
    <row r="63" ht="78" customHeight="1" s="45"/>
    <row r="64" ht="78" customHeight="1" s="45"/>
    <row r="65" ht="78" customHeight="1" s="45"/>
    <row r="66" ht="78" customHeight="1" s="45"/>
    <row r="67" ht="78" customHeight="1" s="45"/>
    <row r="68" ht="78" customHeight="1" s="45"/>
    <row r="69" ht="78" customHeight="1" s="45"/>
    <row r="70" ht="78" customHeight="1" s="45"/>
    <row r="71" ht="78" customHeight="1" s="45"/>
    <row r="72" ht="78" customHeight="1" s="45"/>
    <row r="73" ht="78" customHeight="1" s="45"/>
    <row r="74" ht="78" customHeight="1" s="45"/>
    <row r="75" ht="78" customHeight="1" s="45"/>
    <row r="76" ht="78" customHeight="1" s="45"/>
    <row r="77" ht="78" customHeight="1" s="45"/>
    <row r="78" ht="78" customHeight="1" s="45"/>
    <row r="79" ht="78" customHeight="1" s="45"/>
    <row r="80" ht="78" customHeight="1" s="45"/>
    <row r="81" ht="78" customHeight="1" s="45"/>
    <row r="82" ht="78" customHeight="1" s="45"/>
    <row r="83" ht="78" customHeight="1" s="45"/>
    <row r="84" ht="78" customHeight="1" s="45"/>
    <row r="85" ht="78" customHeight="1" s="45"/>
    <row r="86" ht="78" customHeight="1" s="45"/>
    <row r="87" ht="78" customHeight="1" s="45"/>
    <row r="88" ht="78" customHeight="1" s="45"/>
    <row r="89" ht="78" customHeight="1" s="45"/>
    <row r="90" ht="78" customHeight="1" s="45"/>
    <row r="91" ht="78" customHeight="1" s="45"/>
    <row r="92" ht="78" customHeight="1" s="45"/>
    <row r="93" ht="78" customHeight="1" s="45"/>
    <row r="94" ht="78" customHeight="1" s="45"/>
    <row r="95" ht="78" customHeight="1" s="45"/>
    <row r="96" ht="78" customHeight="1" s="45"/>
    <row r="97" ht="78" customHeight="1" s="45"/>
    <row r="98" ht="78" customHeight="1" s="45"/>
    <row r="99" ht="78" customHeight="1" s="45"/>
    <row r="100" ht="78" customHeight="1" s="45"/>
    <row r="101" ht="78" customHeight="1" s="45"/>
    <row r="102" ht="78" customHeight="1" s="45"/>
    <row r="103" ht="78" customHeight="1" s="45"/>
    <row r="104" ht="78" customHeight="1" s="45"/>
    <row r="105" ht="78" customHeight="1" s="45"/>
    <row r="106" ht="78" customHeight="1" s="45"/>
    <row r="107" ht="78" customHeight="1" s="45"/>
    <row r="108" ht="78" customHeight="1" s="45"/>
    <row r="109" ht="78" customHeight="1" s="45"/>
    <row r="110" ht="78" customHeight="1" s="45"/>
    <row r="111" ht="78" customHeight="1" s="45"/>
    <row r="112" ht="78" customHeight="1" s="45"/>
    <row r="113" ht="78" customHeight="1" s="45"/>
    <row r="114" ht="78" customHeight="1" s="45"/>
    <row r="115" ht="78" customHeight="1" s="45"/>
    <row r="116" ht="78" customHeight="1" s="45"/>
    <row r="117" ht="78" customHeight="1" s="45"/>
    <row r="118" ht="78" customHeight="1" s="45"/>
    <row r="119" ht="78" customHeight="1" s="45"/>
    <row r="120" ht="78" customHeight="1" s="45"/>
    <row r="121" ht="78" customHeight="1" s="45"/>
    <row r="122" ht="78" customHeight="1" s="45"/>
    <row r="123" ht="78" customHeight="1" s="45"/>
    <row r="124" ht="78" customHeight="1" s="45"/>
    <row r="125" ht="78" customHeight="1" s="45"/>
    <row r="126" ht="78" customHeight="1" s="45"/>
    <row r="127" ht="78" customHeight="1" s="45"/>
    <row r="128" ht="78" customHeight="1" s="45"/>
    <row r="129" ht="78" customHeight="1" s="45"/>
    <row r="130" ht="78" customHeight="1" s="45"/>
    <row r="131" ht="78" customHeight="1" s="45"/>
    <row r="132" ht="78" customHeight="1" s="45"/>
    <row r="133" ht="78" customHeight="1" s="45"/>
    <row r="134" ht="78" customHeight="1" s="45"/>
    <row r="135" ht="78" customHeight="1" s="45"/>
    <row r="136" ht="78" customHeight="1" s="45"/>
    <row r="137" ht="78" customHeight="1" s="45"/>
    <row r="138" ht="78" customHeight="1" s="45"/>
    <row r="139" ht="78" customHeight="1" s="45"/>
    <row r="140" ht="78" customHeight="1" s="45"/>
    <row r="141" ht="78" customHeight="1" s="45"/>
    <row r="142" ht="78" customHeight="1" s="45"/>
    <row r="143" ht="78" customHeight="1" s="45"/>
    <row r="144" ht="78" customHeight="1" s="45"/>
    <row r="145" ht="78" customHeight="1" s="45"/>
    <row r="146" ht="78" customHeight="1" s="45"/>
    <row r="147" ht="78" customHeight="1" s="45"/>
    <row r="148" ht="78" customHeight="1" s="45"/>
    <row r="149" ht="78" customHeight="1" s="45"/>
    <row r="150" ht="78" customHeight="1" s="45"/>
    <row r="151" ht="78" customHeight="1" s="45"/>
    <row r="152" ht="78" customHeight="1" s="45"/>
    <row r="153" ht="78" customHeight="1" s="45"/>
    <row r="154" ht="78" customHeight="1" s="45"/>
    <row r="155" ht="78" customHeight="1" s="45"/>
    <row r="156" ht="78" customHeight="1" s="45"/>
    <row r="157" ht="78" customHeight="1" s="45"/>
    <row r="158" ht="78" customHeight="1" s="45"/>
    <row r="159" ht="78" customHeight="1" s="45"/>
    <row r="160" ht="78" customHeight="1" s="45"/>
    <row r="161" ht="78" customHeight="1" s="45"/>
    <row r="162" ht="78" customHeight="1" s="45"/>
    <row r="163" ht="78" customHeight="1" s="45"/>
    <row r="164" ht="78" customHeight="1" s="45"/>
    <row r="165" ht="78" customHeight="1" s="45"/>
    <row r="166" ht="78" customHeight="1" s="45"/>
    <row r="167" ht="78" customHeight="1" s="45"/>
    <row r="168" ht="78" customHeight="1" s="45"/>
    <row r="169" ht="78" customHeight="1" s="45"/>
    <row r="170" ht="78" customHeight="1" s="45"/>
    <row r="171" ht="78" customHeight="1" s="45"/>
    <row r="172" ht="78" customHeight="1" s="45"/>
    <row r="173" ht="78" customHeight="1" s="45"/>
    <row r="174" ht="78" customHeight="1" s="45"/>
    <row r="175" ht="78" customHeight="1" s="45"/>
    <row r="176" ht="78" customHeight="1" s="45"/>
    <row r="177" ht="78" customHeight="1" s="45"/>
    <row r="178" ht="78" customHeight="1" s="45"/>
    <row r="179" ht="78" customHeight="1" s="45"/>
    <row r="180" ht="78" customHeight="1" s="45"/>
    <row r="181" ht="78" customHeight="1" s="45"/>
    <row r="182" ht="78" customHeight="1" s="45"/>
    <row r="183" ht="78" customHeight="1" s="45"/>
    <row r="184" ht="78" customHeight="1" s="45"/>
    <row r="185" ht="78" customHeight="1" s="45"/>
    <row r="186" ht="78" customHeight="1" s="45"/>
    <row r="187" ht="78" customHeight="1" s="45"/>
    <row r="188" ht="78" customHeight="1" s="45"/>
    <row r="189" ht="78" customHeight="1" s="45"/>
    <row r="190" ht="78" customHeight="1" s="45"/>
    <row r="191" ht="78" customHeight="1" s="45"/>
    <row r="192" ht="78" customHeight="1" s="45"/>
    <row r="193" ht="78" customHeight="1" s="45"/>
    <row r="194" ht="78" customHeight="1" s="45"/>
    <row r="195" ht="78" customHeight="1" s="45"/>
    <row r="196" ht="78" customHeight="1" s="45"/>
    <row r="197" ht="78" customHeight="1" s="45"/>
    <row r="198" ht="78" customHeight="1" s="45"/>
    <row r="199" ht="78" customHeight="1" s="45"/>
    <row r="200" ht="78" customHeight="1" s="45"/>
    <row r="201" ht="78" customHeight="1" s="45"/>
    <row r="202" ht="78" customHeight="1" s="45"/>
    <row r="203" ht="78" customHeight="1" s="45"/>
    <row r="204" ht="78" customHeight="1" s="45"/>
    <row r="205" ht="78" customHeight="1" s="45"/>
    <row r="206" ht="78" customHeight="1" s="45"/>
    <row r="207" ht="78" customHeight="1" s="45"/>
    <row r="208" ht="78" customHeight="1" s="45"/>
    <row r="209" ht="78" customHeight="1" s="45"/>
    <row r="210" ht="78" customHeight="1" s="45"/>
    <row r="211" ht="78" customHeight="1" s="45"/>
    <row r="212" ht="78" customHeight="1" s="45"/>
    <row r="213" ht="78" customHeight="1" s="45"/>
    <row r="214" ht="78" customHeight="1" s="45"/>
    <row r="215" ht="78" customHeight="1" s="45"/>
    <row r="216" ht="78" customHeight="1" s="45"/>
    <row r="217" ht="78" customHeight="1" s="45"/>
    <row r="218" ht="78" customHeight="1" s="45"/>
    <row r="219" ht="78" customHeight="1" s="45"/>
    <row r="220" ht="78" customHeight="1" s="45"/>
    <row r="221" ht="78" customHeight="1" s="45"/>
    <row r="222" ht="78" customHeight="1" s="45"/>
    <row r="223" ht="78" customHeight="1" s="45"/>
    <row r="224" ht="78" customHeight="1" s="45"/>
    <row r="225" ht="78" customHeight="1" s="45"/>
    <row r="226" ht="78" customHeight="1" s="45"/>
    <row r="227" ht="78" customHeight="1" s="45"/>
    <row r="228" ht="78" customHeight="1" s="45"/>
    <row r="229" ht="78" customHeight="1" s="45"/>
    <row r="230" ht="78" customHeight="1" s="45"/>
    <row r="231" ht="78" customHeight="1" s="45"/>
    <row r="232" ht="78" customHeight="1" s="45"/>
    <row r="233" ht="78" customHeight="1" s="45"/>
    <row r="234" ht="78" customHeight="1" s="45"/>
    <row r="235" ht="78" customHeight="1" s="45"/>
    <row r="236" ht="78" customHeight="1" s="45"/>
    <row r="237" ht="78" customHeight="1" s="45"/>
    <row r="238" ht="78" customHeight="1" s="45"/>
    <row r="239" ht="78" customHeight="1" s="45"/>
    <row r="240" ht="78" customHeight="1" s="45"/>
    <row r="241" ht="78" customHeight="1" s="45"/>
    <row r="242" ht="78" customHeight="1" s="45"/>
    <row r="243" ht="78" customHeight="1" s="45"/>
    <row r="244" ht="78" customHeight="1" s="45"/>
    <row r="245" ht="78" customHeight="1" s="45"/>
    <row r="246" ht="78" customHeight="1" s="45"/>
    <row r="247" ht="78" customHeight="1" s="45"/>
    <row r="248" ht="78" customHeight="1" s="45"/>
    <row r="249" ht="78" customHeight="1" s="45"/>
    <row r="250" ht="78" customHeight="1" s="45"/>
    <row r="251" ht="78" customHeight="1" s="45"/>
    <row r="252" ht="78" customHeight="1" s="45"/>
    <row r="253" ht="78" customHeight="1" s="45"/>
    <row r="254" ht="78" customHeight="1" s="45"/>
    <row r="255" ht="78" customHeight="1" s="45"/>
    <row r="256" ht="78" customHeight="1" s="45"/>
    <row r="257" ht="78" customHeight="1" s="45"/>
    <row r="258" ht="78" customHeight="1" s="45"/>
    <row r="259" ht="78" customHeight="1" s="45"/>
    <row r="260" ht="78" customHeight="1" s="45"/>
    <row r="261" ht="78" customHeight="1" s="45"/>
    <row r="262" ht="78" customHeight="1" s="45"/>
    <row r="263" ht="78" customHeight="1" s="45"/>
    <row r="264" ht="78" customHeight="1" s="45"/>
    <row r="265" ht="78" customHeight="1" s="45"/>
    <row r="266" ht="78" customHeight="1" s="45"/>
    <row r="267" ht="78" customHeight="1" s="45"/>
    <row r="268" ht="78" customHeight="1" s="45"/>
    <row r="269" ht="78" customHeight="1" s="45"/>
    <row r="270" ht="78" customHeight="1" s="45"/>
    <row r="271" ht="78" customHeight="1" s="45"/>
    <row r="272" ht="78" customHeight="1" s="45"/>
    <row r="273" ht="78" customHeight="1" s="45"/>
    <row r="274" ht="78" customHeight="1" s="45"/>
    <row r="275" ht="78" customHeight="1" s="45"/>
    <row r="276" ht="78" customHeight="1" s="45"/>
    <row r="277" ht="78" customHeight="1" s="45"/>
    <row r="278" ht="78" customHeight="1" s="45"/>
    <row r="279" ht="78" customHeight="1" s="45"/>
    <row r="280" ht="78" customHeight="1" s="45"/>
    <row r="281" ht="78" customHeight="1" s="45"/>
    <row r="282" ht="78" customHeight="1" s="45"/>
    <row r="283" ht="78" customHeight="1" s="45"/>
    <row r="284" ht="78" customHeight="1" s="45"/>
    <row r="285" ht="78" customHeight="1" s="45"/>
    <row r="286" ht="78" customHeight="1" s="45"/>
    <row r="287" ht="78" customHeight="1" s="45"/>
    <row r="288" ht="78" customHeight="1" s="45"/>
    <row r="289" ht="78" customHeight="1" s="45"/>
    <row r="290" ht="78" customHeight="1" s="45"/>
    <row r="291" ht="78" customHeight="1" s="45"/>
    <row r="292" ht="78" customHeight="1" s="45"/>
    <row r="293" ht="78" customHeight="1" s="45"/>
    <row r="294" ht="78" customHeight="1" s="45"/>
    <row r="295" ht="78" customHeight="1" s="45"/>
    <row r="296" ht="78" customHeight="1" s="45"/>
    <row r="297" ht="78" customHeight="1" s="45"/>
    <row r="298" ht="78" customHeight="1" s="45"/>
    <row r="299" ht="78" customHeight="1" s="45"/>
    <row r="300" ht="78" customHeight="1" s="45"/>
    <row r="301" ht="78" customHeight="1" s="45"/>
    <row r="302" ht="78" customHeight="1" s="45"/>
    <row r="303" ht="78" customHeight="1" s="45"/>
    <row r="304" ht="78" customHeight="1" s="45"/>
    <row r="305" ht="78" customHeight="1" s="45"/>
    <row r="306" ht="78" customHeight="1" s="45"/>
    <row r="307" ht="78" customHeight="1" s="45"/>
    <row r="308" ht="78" customHeight="1" s="45"/>
    <row r="309" ht="78" customHeight="1" s="45"/>
    <row r="310" ht="78" customHeight="1" s="45"/>
    <row r="311" ht="78" customHeight="1" s="45"/>
    <row r="312" ht="78" customHeight="1" s="45"/>
    <row r="313" ht="78" customHeight="1" s="45"/>
    <row r="314" ht="78" customHeight="1" s="45"/>
    <row r="315" ht="78" customHeight="1" s="45"/>
    <row r="316" ht="78" customHeight="1" s="45"/>
    <row r="317" ht="78" customHeight="1" s="45"/>
    <row r="318" ht="78" customHeight="1" s="45"/>
    <row r="319" ht="78" customHeight="1" s="45"/>
    <row r="320" ht="78" customHeight="1" s="45"/>
    <row r="321" ht="78" customHeight="1" s="45"/>
    <row r="322" ht="78" customHeight="1" s="45"/>
    <row r="323" ht="78" customHeight="1" s="45"/>
    <row r="324" ht="78" customHeight="1" s="45"/>
    <row r="325" ht="78" customHeight="1" s="45"/>
    <row r="326" ht="78" customHeight="1" s="45"/>
    <row r="327" ht="78" customHeight="1" s="45"/>
    <row r="328" ht="78" customHeight="1" s="45"/>
    <row r="329" ht="78" customHeight="1" s="45"/>
    <row r="330" ht="78" customHeight="1" s="45"/>
    <row r="331" ht="78" customHeight="1" s="45"/>
    <row r="332" ht="78" customHeight="1" s="45"/>
    <row r="333" ht="78" customHeight="1" s="45"/>
    <row r="334" ht="78" customHeight="1" s="45"/>
    <row r="335" ht="78" customHeight="1" s="45"/>
    <row r="336" ht="78" customHeight="1" s="45"/>
    <row r="337" ht="78" customHeight="1" s="45"/>
    <row r="338" ht="78" customHeight="1" s="45"/>
    <row r="339" ht="78" customHeight="1" s="45"/>
    <row r="340" ht="78" customHeight="1" s="45"/>
    <row r="341" ht="78" customHeight="1" s="45"/>
    <row r="342" ht="78" customHeight="1" s="45"/>
    <row r="343" ht="78" customHeight="1" s="45"/>
    <row r="344" ht="78" customHeight="1" s="45"/>
    <row r="345" ht="78" customHeight="1" s="45"/>
    <row r="346" ht="78" customHeight="1" s="45"/>
    <row r="347" ht="78" customHeight="1" s="45"/>
    <row r="348" ht="78" customHeight="1" s="45"/>
    <row r="349" ht="78" customHeight="1" s="45"/>
    <row r="350" ht="78" customHeight="1" s="45"/>
    <row r="351" ht="78" customHeight="1" s="45"/>
    <row r="352" ht="78" customHeight="1" s="45"/>
    <row r="353" ht="78" customHeight="1" s="45"/>
    <row r="354" ht="78" customHeight="1" s="45"/>
    <row r="355" ht="78" customHeight="1" s="45"/>
    <row r="356" ht="78" customHeight="1" s="45"/>
    <row r="357" ht="78" customHeight="1" s="45"/>
    <row r="358" ht="78" customHeight="1" s="45"/>
    <row r="359" ht="78" customHeight="1" s="45"/>
    <row r="360" ht="78" customHeight="1" s="45"/>
    <row r="361" ht="78" customHeight="1" s="45"/>
    <row r="362" ht="78" customHeight="1" s="45"/>
    <row r="363" ht="78" customHeight="1" s="45"/>
    <row r="364" ht="78" customHeight="1" s="45"/>
    <row r="365" ht="78" customHeight="1" s="45"/>
    <row r="366" ht="78" customHeight="1" s="45"/>
    <row r="367" ht="78" customHeight="1" s="45"/>
    <row r="368" ht="78" customHeight="1" s="45"/>
    <row r="369" ht="78" customHeight="1" s="45"/>
    <row r="370" ht="78" customHeight="1" s="45"/>
    <row r="371" ht="78" customHeight="1" s="45"/>
    <row r="372" ht="78" customHeight="1" s="45"/>
    <row r="373" ht="78" customHeight="1" s="45"/>
    <row r="374" ht="78" customHeight="1" s="45"/>
    <row r="375" ht="78" customHeight="1" s="45"/>
    <row r="376" ht="78" customHeight="1" s="45"/>
    <row r="377" ht="78" customHeight="1" s="45"/>
    <row r="378" ht="78" customHeight="1" s="45"/>
    <row r="379" ht="78" customHeight="1" s="45"/>
    <row r="380" ht="78" customHeight="1" s="45"/>
    <row r="381" ht="78" customHeight="1" s="45"/>
    <row r="382" ht="78" customHeight="1" s="45"/>
    <row r="383" ht="78" customHeight="1" s="45"/>
    <row r="384" ht="78" customHeight="1" s="45"/>
    <row r="385" ht="78" customHeight="1" s="45"/>
    <row r="386" ht="78" customHeight="1" s="45"/>
    <row r="387" ht="78" customHeight="1" s="45"/>
    <row r="388" ht="78" customHeight="1" s="45"/>
    <row r="389" ht="78" customHeight="1" s="45"/>
    <row r="390" ht="78" customHeight="1" s="45"/>
    <row r="391" ht="78" customHeight="1" s="45"/>
    <row r="392" ht="78" customHeight="1" s="45"/>
    <row r="393" ht="78" customHeight="1" s="45"/>
    <row r="394" ht="78" customHeight="1" s="45"/>
    <row r="395" ht="78" customHeight="1" s="45"/>
    <row r="396" ht="78" customHeight="1" s="45"/>
    <row r="397" ht="78" customHeight="1" s="45"/>
    <row r="398" ht="78" customHeight="1" s="45"/>
    <row r="399" ht="78" customHeight="1" s="45"/>
    <row r="400" ht="78" customHeight="1" s="45"/>
    <row r="401" ht="78" customHeight="1" s="45"/>
    <row r="402" ht="78" customHeight="1" s="45"/>
    <row r="403" ht="78" customHeight="1" s="45"/>
    <row r="404" ht="78" customHeight="1" s="45"/>
    <row r="405" ht="78" customHeight="1" s="45"/>
    <row r="406" ht="78" customHeight="1" s="45"/>
    <row r="407" ht="78" customHeight="1" s="45"/>
    <row r="408" ht="78" customHeight="1" s="45"/>
    <row r="409" ht="78" customHeight="1" s="45"/>
    <row r="410" ht="78" customHeight="1" s="45"/>
    <row r="411" ht="78" customHeight="1" s="45"/>
    <row r="412" ht="78" customHeight="1" s="45"/>
    <row r="413" ht="78" customHeight="1" s="45"/>
    <row r="414" ht="78" customHeight="1" s="45"/>
    <row r="415" ht="78" customHeight="1" s="45"/>
    <row r="416" ht="78" customHeight="1" s="45"/>
    <row r="417" ht="78" customHeight="1" s="45"/>
    <row r="418" ht="78" customHeight="1" s="45"/>
    <row r="419" ht="78" customHeight="1" s="45"/>
    <row r="420" ht="78" customHeight="1" s="45"/>
    <row r="421" ht="78" customHeight="1" s="45"/>
    <row r="422" ht="78" customHeight="1" s="45"/>
    <row r="423" ht="78" customHeight="1" s="45"/>
    <row r="424" ht="78" customHeight="1" s="45"/>
    <row r="425" ht="78" customHeight="1" s="45"/>
    <row r="426" ht="78" customHeight="1" s="45"/>
    <row r="427" ht="78" customHeight="1" s="45"/>
    <row r="428" ht="78" customHeight="1" s="45"/>
    <row r="429" ht="78" customHeight="1" s="45"/>
    <row r="430" ht="78" customHeight="1" s="45"/>
    <row r="431" ht="78" customHeight="1" s="45"/>
    <row r="432" ht="78" customHeight="1" s="45"/>
    <row r="433" ht="78" customHeight="1" s="45"/>
    <row r="434" ht="78" customHeight="1" s="45"/>
    <row r="435" ht="78" customHeight="1" s="45"/>
    <row r="436" ht="78" customHeight="1" s="45"/>
    <row r="437" ht="78" customHeight="1" s="45"/>
    <row r="438" ht="78" customHeight="1" s="45"/>
    <row r="439" ht="78" customHeight="1" s="45"/>
    <row r="440" ht="78" customHeight="1" s="45"/>
    <row r="441" ht="78" customHeight="1" s="45"/>
    <row r="442" ht="78" customHeight="1" s="45"/>
    <row r="443" ht="78" customHeight="1" s="45"/>
    <row r="444" ht="78" customHeight="1" s="45"/>
    <row r="445" ht="78" customHeight="1" s="45"/>
    <row r="446" ht="78" customHeight="1" s="45"/>
    <row r="447" ht="78" customHeight="1" s="45"/>
    <row r="448" ht="78" customHeight="1" s="45"/>
    <row r="449" ht="78" customHeight="1" s="45"/>
    <row r="450" ht="78" customHeight="1" s="45"/>
    <row r="451" ht="78" customHeight="1" s="45"/>
    <row r="452" ht="78" customHeight="1" s="45"/>
    <row r="453" ht="78" customHeight="1" s="45"/>
    <row r="454" ht="78" customHeight="1" s="45"/>
    <row r="455" ht="78" customHeight="1" s="45"/>
    <row r="456" ht="78" customHeight="1" s="45"/>
    <row r="457" ht="78" customHeight="1" s="45"/>
    <row r="458" ht="78" customHeight="1" s="45"/>
    <row r="459" ht="78" customHeight="1" s="45"/>
    <row r="460" ht="78" customHeight="1" s="45"/>
    <row r="461" ht="78" customHeight="1" s="45"/>
    <row r="462" ht="78" customHeight="1" s="45"/>
    <row r="463" ht="78" customHeight="1" s="45"/>
    <row r="464" ht="78" customHeight="1" s="45"/>
    <row r="465" ht="78" customHeight="1" s="45"/>
    <row r="466" ht="78" customHeight="1" s="45"/>
    <row r="467" ht="78" customHeight="1" s="45"/>
    <row r="468" ht="78" customHeight="1" s="45"/>
    <row r="469" ht="78" customHeight="1" s="45"/>
    <row r="470" ht="78" customHeight="1" s="45"/>
    <row r="471" ht="78" customHeight="1" s="45"/>
    <row r="472" ht="78" customHeight="1" s="45"/>
    <row r="473" ht="78" customHeight="1" s="45"/>
    <row r="474" ht="78" customHeight="1" s="45"/>
    <row r="475" ht="78" customHeight="1" s="45"/>
    <row r="476" ht="78" customHeight="1" s="45"/>
    <row r="477" ht="78" customHeight="1" s="45"/>
    <row r="478" ht="78" customHeight="1" s="45"/>
    <row r="479" ht="78" customHeight="1" s="45"/>
    <row r="480" ht="78" customHeight="1" s="45"/>
    <row r="481" ht="78" customHeight="1" s="45"/>
    <row r="482" ht="78" customHeight="1" s="45"/>
    <row r="483" ht="78" customHeight="1" s="45"/>
    <row r="484" ht="78" customHeight="1" s="45"/>
    <row r="485" ht="78" customHeight="1" s="45"/>
    <row r="486" ht="78" customHeight="1" s="45"/>
    <row r="487" ht="78" customHeight="1" s="45"/>
    <row r="488" ht="78" customHeight="1" s="45"/>
    <row r="489" ht="78" customHeight="1" s="45"/>
    <row r="490" ht="78" customHeight="1" s="45"/>
    <row r="491" ht="78" customHeight="1" s="45"/>
    <row r="492" ht="78" customHeight="1" s="45"/>
    <row r="493" ht="78" customHeight="1" s="45"/>
    <row r="494" ht="78" customHeight="1" s="45"/>
    <row r="495" ht="78" customHeight="1" s="45"/>
    <row r="496" ht="78" customHeight="1" s="45"/>
    <row r="497" ht="78" customHeight="1" s="45"/>
    <row r="498" ht="78" customHeight="1" s="45"/>
    <row r="499" ht="78" customHeight="1" s="45"/>
    <row r="500" ht="78" customHeight="1" s="45"/>
    <row r="501" ht="78" customHeight="1" s="45"/>
    <row r="502" ht="78" customHeight="1" s="45"/>
    <row r="503" ht="78" customHeight="1" s="45"/>
    <row r="504" ht="78" customHeight="1" s="45"/>
    <row r="505" ht="78" customHeight="1" s="45"/>
    <row r="506" ht="78" customHeight="1" s="45"/>
    <row r="507" ht="78" customHeight="1" s="45"/>
    <row r="508" ht="78" customHeight="1" s="45"/>
    <row r="509" ht="78" customHeight="1" s="45"/>
    <row r="510" ht="78" customHeight="1" s="45"/>
    <row r="511" ht="78" customHeight="1" s="45"/>
    <row r="512" ht="78" customHeight="1" s="45"/>
    <row r="513" ht="78" customHeight="1" s="45"/>
    <row r="514" ht="78" customHeight="1" s="45"/>
    <row r="515" ht="78" customHeight="1" s="45"/>
    <row r="516" ht="78" customHeight="1" s="45"/>
    <row r="517" ht="78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10">
    <mergeCell ref="A4:B4"/>
    <mergeCell ref="F4:G4"/>
    <mergeCell ref="D5:E5"/>
    <mergeCell ref="A1:L2"/>
    <mergeCell ref="G5:H5"/>
    <mergeCell ref="C4:E4"/>
    <mergeCell ref="K5:L5"/>
    <mergeCell ref="A5:B5"/>
    <mergeCell ref="A6:L6"/>
    <mergeCell ref="H4:L4"/>
  </mergeCells>
  <conditionalFormatting sqref="I8:I47">
    <cfRule type="cellIs" priority="1" operator="equal" dxfId="3">
      <formula>"Exitoso"</formula>
    </cfRule>
  </conditionalFormatting>
  <dataValidations count="2">
    <dataValidation sqref="I8:I47" showDropDown="0" showInputMessage="0" showErrorMessage="0" allowBlank="1" type="list">
      <formula1>"Exitoso,Falló,Bloqueado,Pendiente"</formula1>
    </dataValidation>
    <dataValidation sqref="J8:J47" showDropDown="0" showInputMessage="0" showErrorMessage="0" allowBlank="1" type="list">
      <formula1>"Alta,Media,Baja"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DE INTEGRACIÓN (CAJA GRIS / SERVICIOS Y APIS)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2: Pruebas de Integración (Integration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Verificación de interfaces entre módulos, interacción API-Base de Datos, middleware, colas de mensajería y persistencia.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0" customHeight="1" s="45">
      <c r="A8" s="61" t="inlineStr">
        <is>
          <t>INT-01</t>
        </is>
      </c>
      <c r="B8" s="62" t="inlineStr">
        <is>
          <t>API de autenticación: POST /api/auth/register, POST /api/auth/login y GET /api/auth/profile</t>
        </is>
      </c>
      <c r="C8" s="62" t="inlineStr">
        <is>
          <t>BD de pruebas migrada; SECRET_KEY/JWT_SECRET_KEY de test; bcrypt rounds=12; cliente HTTP de Django.</t>
        </is>
      </c>
      <c r="D8" s="62" t="inlineStr">
        <is>
          <t>register: {"name":"Andrés Test","email":"andres.test@plomaap.com","password":"PlomApp2026*"}
login: mismo email/password
profile: header Authorization: Bearer &lt;token&gt;</t>
        </is>
      </c>
      <c r="E8" s="62" t="inlineStr">
        <is>
          <t>1. POST register y validar 201 + token.
2. POST login y validar 200 + user + token.
3. GET profile con Bearer y validar 200.
4. Repetir login con password incorrecta y validar 401.
5. Verificar que el password no se devuelva en claro.</t>
        </is>
      </c>
      <c r="F8" s="62" t="inlineStr">
        <is>
          <t>201/200/200/401; token con sub string; usuario persistido; password bcrypt verificable; sin password en la respuesta.</t>
        </is>
      </c>
      <c r="G8" s="62" t="inlineStr">
        <is>
          <t>Aprobado: 2/2 pruebas en PostgreSQL de pruebas (registro 201, login 200, perfil 200 y contraseña incorrecta 401).</t>
        </is>
      </c>
      <c r="H8" s="61" t="inlineStr">
        <is>
          <t>Caja Gris (API + BD + JWT/bcrypt)</t>
        </is>
      </c>
      <c r="I8" s="61" t="inlineStr">
        <is>
          <t>Exitoso</t>
        </is>
      </c>
      <c r="J8" s="61" t="inlineStr">
        <is>
          <t>Alta</t>
        </is>
      </c>
      <c r="K8" s="63" t="inlineStr">
        <is>
          <t>pytest -m integration --create-db (TEST_USE_CONFIGURED_DB=1): 8 passed; api/tests/integration/test_int_01_auth_api.py</t>
        </is>
      </c>
      <c r="L8" s="62" t="inlineStr">
        <is>
          <t>Ejecutado el 26/10/2026 contra test_plomapp en PostgreSQL 5434; la BD real no se modificó.</t>
        </is>
      </c>
    </row>
    <row r="9" ht="160" customHeight="1" s="45">
      <c r="A9" s="61" t="inlineStr">
        <is>
          <t>INT-02</t>
        </is>
      </c>
      <c r="B9" s="62" t="inlineStr">
        <is>
          <t>Citas: GET /api/appointments/availability y POST /api/appointments con prevención de doble reserva</t>
        </is>
      </c>
      <c r="C9" s="62" t="inlineStr">
        <is>
          <t>Postgres de pruebas; cliente autenticado; servicio y técnico activos con schedule del lunes; sin citas en el slot.</t>
        </is>
      </c>
      <c r="D9" s="62" t="inlineStr">
        <is>
          <t>GET /api/appointments/availability?service_id=1&amp;date=2026-11-02&amp;technician_id=1
POST /api/appointments {"service_id":1,"date":"2026-11-02","time":"09:00","technician_id":1,"address":"Calle 1 #2-3"}</t>
        </is>
      </c>
      <c r="E9" s="62" t="inlineStr">
        <is>
          <t>1. Consultar disponibilidad y confirmar 09:00.
2. Crear la cita y validar 201.
3. Repetir la misma reserva y validar 409 SLOT_UNAVAILABLE.
4. Consultar la BD y verificar una sola fila.</t>
        </is>
      </c>
      <c r="F9" s="62" t="inlineStr">
        <is>
          <t>Disponibilidad 200 con 09:00; creación 201; duplicado 409; una sola cita en BD; sin doble reserva.</t>
        </is>
      </c>
      <c r="G9" s="62" t="inlineStr">
        <is>
          <t>Aprobado: disponibilidad 200 con slot 09:00, creación 201, duplicado 409 y una sola cita persistida.</t>
        </is>
      </c>
      <c r="H9" s="61" t="inlineStr">
        <is>
          <t>Caja Gris (API + BD + transacción/row lock)</t>
        </is>
      </c>
      <c r="I9" s="61" t="inlineStr">
        <is>
          <t>Exitoso</t>
        </is>
      </c>
      <c r="J9" s="61" t="inlineStr">
        <is>
          <t>Alta</t>
        </is>
      </c>
      <c r="K9" s="63" t="inlineStr">
        <is>
          <t>pytest -m integration --create-db (TEST_USE_CONFIGURED_DB=1): 8 passed; api/tests/integration/test_int_02_appointments_api.py</t>
        </is>
      </c>
      <c r="L9" s="62" t="inlineStr">
        <is>
          <t>Ejecutado en PostgreSQL de pruebas; valida select_for_update y la regla de no doble reserva.</t>
        </is>
      </c>
    </row>
    <row r="10" ht="160" customHeight="1" s="45">
      <c r="A10" s="61" t="inlineStr">
        <is>
          <t>INT-03</t>
        </is>
      </c>
      <c r="B10" s="62" t="inlineStr">
        <is>
          <t>pgvector: sincronización y búsqueda semántica (POST /api/embeddings/sync y /api/embeddings/search)</t>
        </is>
      </c>
      <c r="C10" s="62" t="inlineStr">
        <is>
          <t>Postgres con extensión vector 0.8.6 e índice HNSW; proveedor de embeddings mockeado con vector determinista de 512 dimensiones.</t>
        </is>
      </c>
      <c r="D10" s="62" t="inlineStr">
        <is>
          <t>POST /api/embeddings/sync
POST /api/embeddings/search {"query":"fuga de agua","entity_type":"service","top_k":3}</t>
        </is>
      </c>
      <c r="E10" s="62" t="inlineStr">
        <is>
          <t>1. Sincronizar embeddings y validar 200.
2. Verificar en BD el tipo vector(512) y el índice HNSW.
3. Buscar "fuga de agua" y validar resultados.
4. Calcular similitud de un vector consigo mismo.</t>
        </is>
      </c>
      <c r="F10" s="62" t="inlineStr">
        <is>
          <t>Sync 200; columna vector(512); índice HNSW presente; búsqueda devuelve servicios ordenados; similitud propia = 1.0; sin fallback silencioso a Python.</t>
        </is>
      </c>
      <c r="G10" s="62" t="inlineStr">
        <is>
          <t>Aprobado: sincronización de 1 servicio, columna vector(512), índice HNSW y búsqueda con similitud 1.0.</t>
        </is>
      </c>
      <c r="H10" s="61" t="inlineStr">
        <is>
          <t>Caja Gris (BD vectorial / integración)</t>
        </is>
      </c>
      <c r="I10" s="61" t="inlineStr">
        <is>
          <t>Exitoso</t>
        </is>
      </c>
      <c r="J10" s="61" t="inlineStr">
        <is>
          <t>Alta</t>
        </is>
      </c>
      <c r="K10" s="63" t="inlineStr">
        <is>
          <t>pytest -m integration --create-db (TEST_USE_CONFIGURED_DB=1): 8 passed; api/tests/integration/test_int_03_pgvector.py</t>
        </is>
      </c>
      <c r="L10" s="62" t="inlineStr">
        <is>
          <t>Proveedor de embeddings mockeado; no se llamó a Voyage/Gemini. Extensión e índice creados en la BD de pruebas.</t>
        </is>
      </c>
    </row>
    <row r="11" ht="160" customHeight="1" s="45">
      <c r="A11" s="61" t="inlineStr">
        <is>
          <t>INT-04</t>
        </is>
      </c>
      <c r="B11" s="62" t="inlineStr">
        <is>
          <t>Evidencias: POST /api/upload/evidence y persistencia JSONB de evidence_photos</t>
        </is>
      </c>
      <c r="C11" s="62" t="inlineStr">
        <is>
          <t>Postgres de pruebas; autenticación de cliente; cita existente; directorio temporal para uploads; límite 10 MB.</t>
        </is>
      </c>
      <c r="D11" s="62" t="inlineStr">
        <is>
          <t>PNG válido con firma \x89PNG\r\n\x1a\n
PNG falso con contenido HTML
Archivo de 11 MB
PATCH /api/appointments/1 con {"evidence_photos":["/static/uploads/evidence/&lt;uuid&gt;.png"]}</t>
        </is>
      </c>
      <c r="E11" s="62" t="inlineStr">
        <is>
          <t>1. Subir PNG válido y validar 201 + URL.
2. Subir contenido falso y validar 400.
3. Subir archivo &gt;10 MB y validar 400.
4. Guardar la URL en evidence_photos y leer la cita; verificar que sea lista JSONB.</t>
        </is>
      </c>
      <c r="F11" s="62" t="inlineStr">
        <is>
          <t>201 para imagen real; 400 para contenido falso y tamaño excedido; evidence_photos se lee como lista (jsonb), sin error 500.</t>
        </is>
      </c>
      <c r="G11" s="62" t="inlineStr">
        <is>
          <t>Aprobado: 4/4 pruebas (PNG 201, contenido falso 400, archivo &gt;10 MB 400 y evidence_photos JSONB/lista).</t>
        </is>
      </c>
      <c r="H11" s="61" t="inlineStr">
        <is>
          <t>Caja Gris (API + filesystem + JSONB)</t>
        </is>
      </c>
      <c r="I11" s="61" t="inlineStr">
        <is>
          <t>Exitoso</t>
        </is>
      </c>
      <c r="J11" s="61" t="inlineStr">
        <is>
          <t>Media</t>
        </is>
      </c>
      <c r="K11" s="62" t="inlineStr">
        <is>
          <t>pytest -m integration --create-db (TEST_USE_CONFIGURED_DB=1): 8 passed; api/tests/integration/test_int_04_uploads_jsonb.py</t>
        </is>
      </c>
      <c r="L11" s="62" t="inlineStr">
        <is>
          <t>Uploads en tmp_path; JSONB verificado con information_schema en PostgreSQL de pruebas.</t>
        </is>
      </c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4.43" defaultRowHeight="15" customHeight="1"/>
  <cols>
    <col width="12" customWidth="1" style="45" min="1" max="1"/>
    <col width="34" customWidth="1" style="45" min="2" max="2"/>
    <col width="32" customWidth="1" style="45" min="3" max="3"/>
    <col width="36" customWidth="1" style="45" min="4" max="4"/>
    <col width="40" customWidth="1" style="45" min="5" max="7"/>
    <col width="40" customWidth="1" style="45" min="6" max="6"/>
    <col width="36" customWidth="1" style="45" min="7" max="7"/>
    <col width="24" customWidth="1" style="45" min="8" max="8"/>
    <col width="12" customWidth="1" style="45" min="9" max="10"/>
    <col width="11" customWidth="1" style="45" min="10" max="10"/>
    <col width="36" customWidth="1" style="45" min="11" max="11"/>
    <col width="34" customWidth="1" style="45" min="12" max="12"/>
    <col width="8.710000000000001" customWidth="1" style="45" min="13" max="26"/>
  </cols>
  <sheetData>
    <row r="1" ht="21.75" customHeight="1" s="45">
      <c r="A1" s="46" t="inlineStr">
        <is>
          <t>SENA - SIGA | PROCEDIMIENTO GESTIÓN DE SISTEMAS DE INFORMACIÓN
MATRIZ DE DISEÑO Y EJECUCIÓN: PRUEBAS END-TO-END E2E (CAJA NEGRA / FORMATO SIGA-SENA)</t>
        </is>
      </c>
    </row>
    <row r="2" ht="21.75" customHeight="1" s="45"/>
    <row r="4" ht="24" customHeight="1" s="45">
      <c r="A4" s="15" t="inlineStr">
        <is>
          <t>Nivel de Prueba:</t>
        </is>
      </c>
      <c r="B4" s="48" t="n"/>
      <c r="C4" s="57" t="inlineStr">
        <is>
          <t>Nivel 3: Pruebas de Sistema y E2E (End-to-End Testing)</t>
        </is>
      </c>
      <c r="D4" s="49" t="n"/>
      <c r="E4" s="48" t="n"/>
      <c r="F4" s="15" t="inlineStr">
        <is>
          <t>Enfoque Teórico / Norma:</t>
        </is>
      </c>
      <c r="G4" s="48" t="n"/>
      <c r="H4" s="59" t="inlineStr">
        <is>
          <t>Basado en el Formato Plantilla SIGA de Prueba Funcional y/o Técnica SENA: Simulación de la experiencia del usuario final en entorno real.</t>
        </is>
      </c>
      <c r="I4" s="49" t="n"/>
      <c r="J4" s="49" t="n"/>
      <c r="K4" s="49" t="n"/>
      <c r="L4" s="48" t="n"/>
    </row>
    <row r="5" ht="19.5" customHeight="1" s="45">
      <c r="A5" s="15" t="inlineStr">
        <is>
          <t>Total Ejecutadas:</t>
        </is>
      </c>
      <c r="B5" s="48" t="n"/>
      <c r="C5" s="14">
        <f>COUNTA(A8:A42)</f>
        <v/>
      </c>
      <c r="D5" s="15" t="inlineStr">
        <is>
          <t>Exitosas (Aprobadas):</t>
        </is>
      </c>
      <c r="E5" s="48" t="n"/>
      <c r="F5" s="14">
        <f>COUNTIF(I8:I42,"Exitoso")</f>
        <v/>
      </c>
      <c r="G5" s="15" t="inlineStr">
        <is>
          <t>Fallidas (Defectos):</t>
        </is>
      </c>
      <c r="H5" s="48" t="n"/>
      <c r="I5" s="14">
        <f>COUNTIF(I8:I42,"Falló")</f>
        <v/>
      </c>
      <c r="J5" s="15" t="inlineStr">
        <is>
          <t>Tasa de Éxito:</t>
        </is>
      </c>
      <c r="K5" s="60">
        <f>IF(C5&gt;0, F5/C5, 0)</f>
        <v/>
      </c>
      <c r="L5" s="48" t="n"/>
    </row>
    <row r="7" ht="27.75" customHeight="1" s="45">
      <c r="A7" s="20" t="inlineStr">
        <is>
          <t>ID Caso</t>
        </is>
      </c>
      <c r="B7" s="20" t="inlineStr">
        <is>
          <t>Componente / Escenario Probado</t>
        </is>
      </c>
      <c r="C7" s="20" t="inlineStr">
        <is>
          <t>Precondiciones / Configuración</t>
        </is>
      </c>
      <c r="D7" s="20" t="inlineStr">
        <is>
          <t>Datos de Entrada (Arrange)</t>
        </is>
      </c>
      <c r="E7" s="20" t="inlineStr">
        <is>
          <t>Pasos de Ejecución (Act)</t>
        </is>
      </c>
      <c r="F7" s="20" t="inlineStr">
        <is>
          <t>Resultado Esperado (Assert / Oráculo)</t>
        </is>
      </c>
      <c r="G7" s="20" t="inlineStr">
        <is>
          <t>Resultado Obtenido en Ejecución</t>
        </is>
      </c>
      <c r="H7" s="20" t="inlineStr">
        <is>
          <t>Tipo / Técnica</t>
        </is>
      </c>
      <c r="I7" s="20" t="inlineStr">
        <is>
          <t>Estado</t>
        </is>
      </c>
      <c r="J7" s="20" t="inlineStr">
        <is>
          <t>Severidad / Prioridad</t>
        </is>
      </c>
      <c r="K7" s="20" t="inlineStr">
        <is>
          <t>Evidencia (URL / Test Pass / Log)</t>
        </is>
      </c>
      <c r="L7" s="20" t="inlineStr">
        <is>
          <t>Observaciones / Defecto Asociado</t>
        </is>
      </c>
    </row>
    <row r="8" ht="165" customHeight="1" s="45">
      <c r="A8" s="61" t="inlineStr">
        <is>
          <t>E2E-01</t>
        </is>
      </c>
      <c r="B8" s="62" t="inlineStr">
        <is>
          <t>Cliente: login, agendar cita y verla en "Mis citas"</t>
        </is>
      </c>
      <c r="C8" s="62" t="inlineStr">
        <is>
          <t>Backend en localhost:5001 y frontend en localhost:5173; BD plomapp_e2e sembrada; cliente, servicio y técnico activos; fecha futura hábil.</t>
        </is>
      </c>
      <c r="D8" s="62" t="inlineStr">
        <is>
          <t>Cliente: cliente.e2e@plomaap.com / PlomApp2026*
Servicio: Fugas de agua
Fecha: 2026-11-02
Hora: 09:00
Dirección: Calle 1 #2-3</t>
        </is>
      </c>
      <c r="E8" s="62" t="inlineStr">
        <is>
          <t>1. Abrir /ingresar/cliente e iniciar sesión.
2. En /cliente, clic en "Agendar".
3. Seleccionar servicio, fecha 2026-11-02, hora 09:00 y dirección.
4. Confirmar la cita.
5. Ir a "Mis citas" y verificar la tarjeta.</t>
        </is>
      </c>
      <c r="F8" s="62" t="inlineStr">
        <is>
          <t>Redirección al dashboard; mensaje de confirmación con técnico; cita visible con fecha, hora y estado; registro en BD.</t>
        </is>
      </c>
      <c r="G8" s="62" t="inlineStr">
        <is>
          <t>No ejecutado: spec Playwright de login/dashboard creado; flujo completo de agendamiento pendiente de BD e2e, servidores y credenciales.</t>
        </is>
      </c>
      <c r="H8" s="61" t="inlineStr">
        <is>
          <t>Caja Negra (E2E / flujo de usuario)</t>
        </is>
      </c>
      <c r="I8" s="61" t="inlineStr">
        <is>
          <t>Pendiente</t>
        </is>
      </c>
      <c r="J8" s="61" t="inlineStr">
        <is>
          <t>Alta</t>
        </is>
      </c>
      <c r="K8" s="63" t="inlineStr">
        <is>
          <t>e2e/tests/e2e_01_client.spec.js (Playwright); npm run test:e2e</t>
        </is>
      </c>
      <c r="L8" s="62" t="inlineStr">
        <is>
          <t>No se marca exitoso ni se inventan evidencias. El flujo completo requiere sembrar cliente, servicio y cita en una BD e2e.</t>
        </is>
      </c>
    </row>
    <row r="9" ht="165" customHeight="1" s="45">
      <c r="A9" s="61" t="inlineStr">
        <is>
          <t>E2E-02</t>
        </is>
      </c>
      <c r="B9" s="62" t="inlineStr">
        <is>
          <t>Técnico: login, agenda del día y cambio de estado de una cita</t>
        </is>
      </c>
      <c r="C9" s="62" t="inlineStr">
        <is>
          <t>Cita asignada al técnico en estado scheduled; técnico activo; backend/frontend levantados; BD e2e.</t>
        </is>
      </c>
      <c r="D9" s="62" t="inlineStr">
        <is>
          <t>Técnico: tecnico.e2e@plomaap.com / PlomApp2026*
Cita: 2026-11-02 09:00
Nuevo estado: in_progress y luego completed</t>
        </is>
      </c>
      <c r="E9" s="62" t="inlineStr">
        <is>
          <t>1. Abrir /ingresar/tecnico e iniciar sesión.
2. En /tecnico, abrir la agenda y localizar la cita.
3. Cambiar estado a "En progreso" y guardar.
4. Cambiar a "Completado" y guardar.
5. Recargar y verificar persistencia.</t>
        </is>
      </c>
      <c r="F9" s="62" t="inlineStr">
        <is>
          <t>Cita visible; estados válidos aplicados; transición scheduled-&gt;in_progress-&gt;completed; UI y BD consistentes tras recargar.</t>
        </is>
      </c>
      <c r="G9" s="62" t="inlineStr">
        <is>
          <t>No ejecutado: spec Playwright de login/agenda creado; cambio de estado pendiente de BD e2e, servidores y credenciales.</t>
        </is>
      </c>
      <c r="H9" s="61" t="inlineStr">
        <is>
          <t>Caja Negra (E2E / flujo de usuario)</t>
        </is>
      </c>
      <c r="I9" s="61" t="inlineStr">
        <is>
          <t>Pendiente</t>
        </is>
      </c>
      <c r="J9" s="61" t="inlineStr">
        <is>
          <t>Alta</t>
        </is>
      </c>
      <c r="K9" s="63" t="inlineStr">
        <is>
          <t>e2e/tests/e2e_02_technician.spec.js (Playwright); npm run test:e2e</t>
        </is>
      </c>
      <c r="L9" s="62" t="inlineStr">
        <is>
          <t>No se marca exitoso ni se inventan evidencias. Requiere cita asignada y transiciones sembradas.</t>
        </is>
      </c>
    </row>
    <row r="10" ht="165" customHeight="1" s="45">
      <c r="A10" s="61" t="inlineStr">
        <is>
          <t>E2E-03</t>
        </is>
      </c>
      <c r="B10" s="62" t="inlineStr">
        <is>
          <t>Administrador: login, dashboard y gestión de una cita</t>
        </is>
      </c>
      <c r="C10" s="62" t="inlineStr">
        <is>
          <t>Usuario admin activo; citas y usuarios de prueba; backend/frontend levantados; BD e2e.</t>
        </is>
      </c>
      <c r="D10" s="62" t="inlineStr">
        <is>
          <t>Admin: admin.e2e@plomaap.com / PlomApp2026*
Cita: 2026-11-02 09:00
Nuevo estado: scheduled o cancelled</t>
        </is>
      </c>
      <c r="E10" s="62" t="inlineStr">
        <is>
          <t>1. Abrir /admin e iniciar sesión.
2. En /admin/panel, verificar métricas del dashboard.
3. Abrir la cita y cambiar su estado.
4. Guardar y recargar.
5. Verificar que las métricas se actualicen.</t>
        </is>
      </c>
      <c r="F10" s="62" t="inlineStr">
        <is>
          <t>Login admin correcto; dashboard con métricas; cambio de estado persistido; métricas coherentes; sin errores 500.</t>
        </is>
      </c>
      <c r="G10" s="62" t="inlineStr">
        <is>
          <t>No ejecutado: spec Playwright de login/panel creado; gestión de cita pendiente de BD e2e, servidores y credenciales.</t>
        </is>
      </c>
      <c r="H10" s="61" t="inlineStr">
        <is>
          <t>Caja Negra (E2E / flujo administrativo)</t>
        </is>
      </c>
      <c r="I10" s="61" t="inlineStr">
        <is>
          <t>Pendiente</t>
        </is>
      </c>
      <c r="J10" s="61" t="inlineStr">
        <is>
          <t>Alta</t>
        </is>
      </c>
      <c r="K10" s="63" t="inlineStr">
        <is>
          <t>e2e/tests/e2e_03_admin.spec.js (Playwright); npm run test:e2e</t>
        </is>
      </c>
      <c r="L10" s="62" t="inlineStr">
        <is>
          <t>No se marca exitoso ni se inventan evidencias. Usar un admin de pruebas, nunca la BD real.</t>
        </is>
      </c>
    </row>
    <row r="11" ht="25.5" customHeight="1" s="45">
      <c r="A11" s="22" t="n"/>
      <c r="B11" s="23" t="n"/>
      <c r="C11" s="23" t="n"/>
      <c r="D11" s="23" t="n"/>
      <c r="E11" s="23" t="n"/>
      <c r="F11" s="23" t="n"/>
      <c r="G11" s="23" t="n"/>
      <c r="H11" s="22" t="n"/>
      <c r="I11" s="22" t="n"/>
      <c r="J11" s="22" t="n"/>
      <c r="K11" s="23" t="n"/>
      <c r="L11" s="23" t="n"/>
    </row>
    <row r="12" ht="25.5" customHeight="1" s="45">
      <c r="A12" s="27" t="n"/>
      <c r="B12" s="28" t="n"/>
      <c r="C12" s="28" t="n"/>
      <c r="D12" s="28" t="n"/>
      <c r="E12" s="28" t="n"/>
      <c r="F12" s="28" t="n"/>
      <c r="G12" s="28" t="n"/>
      <c r="H12" s="27" t="n"/>
      <c r="I12" s="27" t="n"/>
      <c r="J12" s="27" t="n"/>
      <c r="K12" s="28" t="n"/>
      <c r="L12" s="28" t="n"/>
    </row>
    <row r="13" ht="25.5" customHeight="1" s="45">
      <c r="A13" s="22" t="n"/>
      <c r="B13" s="23" t="n"/>
      <c r="C13" s="23" t="n"/>
      <c r="D13" s="23" t="n"/>
      <c r="E13" s="23" t="n"/>
      <c r="F13" s="23" t="n"/>
      <c r="G13" s="23" t="n"/>
      <c r="H13" s="22" t="n"/>
      <c r="I13" s="22" t="n"/>
      <c r="J13" s="22" t="n"/>
      <c r="K13" s="23" t="n"/>
      <c r="L13" s="23" t="n"/>
    </row>
    <row r="14" ht="25.5" customHeight="1" s="45">
      <c r="A14" s="27" t="n"/>
      <c r="B14" s="28" t="n"/>
      <c r="C14" s="28" t="n"/>
      <c r="D14" s="28" t="n"/>
      <c r="E14" s="28" t="n"/>
      <c r="F14" s="28" t="n"/>
      <c r="G14" s="28" t="n"/>
      <c r="H14" s="27" t="n"/>
      <c r="I14" s="27" t="n"/>
      <c r="J14" s="27" t="n"/>
      <c r="K14" s="28" t="n"/>
      <c r="L14" s="28" t="n"/>
    </row>
    <row r="15" ht="25.5" customHeight="1" s="45">
      <c r="A15" s="22" t="n"/>
      <c r="B15" s="23" t="n"/>
      <c r="C15" s="23" t="n"/>
      <c r="D15" s="23" t="n"/>
      <c r="E15" s="23" t="n"/>
      <c r="F15" s="23" t="n"/>
      <c r="G15" s="23" t="n"/>
      <c r="H15" s="22" t="n"/>
      <c r="I15" s="22" t="n"/>
      <c r="J15" s="22" t="n"/>
      <c r="K15" s="23" t="n"/>
      <c r="L15" s="23" t="n"/>
    </row>
    <row r="16" ht="25.5" customHeight="1" s="45">
      <c r="A16" s="27" t="n"/>
      <c r="B16" s="28" t="n"/>
      <c r="C16" s="28" t="n"/>
      <c r="D16" s="28" t="n"/>
      <c r="E16" s="28" t="n"/>
      <c r="F16" s="28" t="n"/>
      <c r="G16" s="28" t="n"/>
      <c r="H16" s="27" t="n"/>
      <c r="I16" s="27" t="n"/>
      <c r="J16" s="27" t="n"/>
      <c r="K16" s="28" t="n"/>
      <c r="L16" s="28" t="n"/>
    </row>
    <row r="17" ht="25.5" customHeight="1" s="45">
      <c r="A17" s="22" t="n"/>
      <c r="B17" s="23" t="n"/>
      <c r="C17" s="23" t="n"/>
      <c r="D17" s="23" t="n"/>
      <c r="E17" s="23" t="n"/>
      <c r="F17" s="23" t="n"/>
      <c r="G17" s="23" t="n"/>
      <c r="H17" s="22" t="n"/>
      <c r="I17" s="22" t="n"/>
      <c r="J17" s="22" t="n"/>
      <c r="K17" s="23" t="n"/>
      <c r="L17" s="23" t="n"/>
    </row>
    <row r="18" ht="25.5" customHeight="1" s="45">
      <c r="A18" s="27" t="n"/>
      <c r="B18" s="28" t="n"/>
      <c r="C18" s="28" t="n"/>
      <c r="D18" s="28" t="n"/>
      <c r="E18" s="28" t="n"/>
      <c r="F18" s="28" t="n"/>
      <c r="G18" s="28" t="n"/>
      <c r="H18" s="27" t="n"/>
      <c r="I18" s="27" t="n"/>
      <c r="J18" s="27" t="n"/>
      <c r="K18" s="28" t="n"/>
      <c r="L18" s="28" t="n"/>
    </row>
    <row r="19" ht="25.5" customHeight="1" s="45">
      <c r="A19" s="22" t="n"/>
      <c r="B19" s="23" t="n"/>
      <c r="C19" s="23" t="n"/>
      <c r="D19" s="23" t="n"/>
      <c r="E19" s="23" t="n"/>
      <c r="F19" s="23" t="n"/>
      <c r="G19" s="23" t="n"/>
      <c r="H19" s="22" t="n"/>
      <c r="I19" s="22" t="n"/>
      <c r="J19" s="22" t="n"/>
      <c r="K19" s="23" t="n"/>
      <c r="L19" s="23" t="n"/>
    </row>
    <row r="20" ht="25.5" customHeight="1" s="45">
      <c r="A20" s="27" t="n"/>
      <c r="B20" s="28" t="n"/>
      <c r="C20" s="28" t="n"/>
      <c r="D20" s="28" t="n"/>
      <c r="E20" s="28" t="n"/>
      <c r="F20" s="28" t="n"/>
      <c r="G20" s="28" t="n"/>
      <c r="H20" s="27" t="n"/>
      <c r="I20" s="27" t="n"/>
      <c r="J20" s="27" t="n"/>
      <c r="K20" s="28" t="n"/>
      <c r="L20" s="28" t="n"/>
    </row>
    <row r="21" ht="25.5" customHeight="1" s="45">
      <c r="A21" s="22" t="n"/>
      <c r="B21" s="23" t="n"/>
      <c r="C21" s="23" t="n"/>
      <c r="D21" s="23" t="n"/>
      <c r="E21" s="23" t="n"/>
      <c r="F21" s="23" t="n"/>
      <c r="G21" s="23" t="n"/>
      <c r="H21" s="22" t="n"/>
      <c r="I21" s="22" t="n"/>
      <c r="J21" s="22" t="n"/>
      <c r="K21" s="23" t="n"/>
      <c r="L21" s="23" t="n"/>
    </row>
    <row r="22" ht="25.5" customHeight="1" s="45">
      <c r="A22" s="27" t="n"/>
      <c r="B22" s="28" t="n"/>
      <c r="C22" s="28" t="n"/>
      <c r="D22" s="28" t="n"/>
      <c r="E22" s="28" t="n"/>
      <c r="F22" s="28" t="n"/>
      <c r="G22" s="28" t="n"/>
      <c r="H22" s="27" t="n"/>
      <c r="I22" s="27" t="n"/>
      <c r="J22" s="27" t="n"/>
      <c r="K22" s="28" t="n"/>
      <c r="L22" s="28" t="n"/>
    </row>
    <row r="23" ht="25.5" customHeight="1" s="45">
      <c r="A23" s="22" t="n"/>
      <c r="B23" s="23" t="n"/>
      <c r="C23" s="23" t="n"/>
      <c r="D23" s="23" t="n"/>
      <c r="E23" s="23" t="n"/>
      <c r="F23" s="23" t="n"/>
      <c r="G23" s="23" t="n"/>
      <c r="H23" s="22" t="n"/>
      <c r="I23" s="22" t="n"/>
      <c r="J23" s="22" t="n"/>
      <c r="K23" s="23" t="n"/>
      <c r="L23" s="23" t="n"/>
    </row>
    <row r="24" ht="25.5" customHeight="1" s="45">
      <c r="A24" s="27" t="n"/>
      <c r="B24" s="28" t="n"/>
      <c r="C24" s="28" t="n"/>
      <c r="D24" s="28" t="n"/>
      <c r="E24" s="28" t="n"/>
      <c r="F24" s="28" t="n"/>
      <c r="G24" s="28" t="n"/>
      <c r="H24" s="27" t="n"/>
      <c r="I24" s="27" t="n"/>
      <c r="J24" s="27" t="n"/>
      <c r="K24" s="28" t="n"/>
      <c r="L24" s="28" t="n"/>
    </row>
    <row r="25" ht="25.5" customHeight="1" s="45">
      <c r="A25" s="22" t="n"/>
      <c r="B25" s="23" t="n"/>
      <c r="C25" s="23" t="n"/>
      <c r="D25" s="23" t="n"/>
      <c r="E25" s="23" t="n"/>
      <c r="F25" s="23" t="n"/>
      <c r="G25" s="23" t="n"/>
      <c r="H25" s="22" t="n"/>
      <c r="I25" s="22" t="n"/>
      <c r="J25" s="22" t="n"/>
      <c r="K25" s="23" t="n"/>
      <c r="L25" s="23" t="n"/>
    </row>
    <row r="26" ht="25.5" customHeight="1" s="45">
      <c r="A26" s="27" t="n"/>
      <c r="B26" s="28" t="n"/>
      <c r="C26" s="28" t="n"/>
      <c r="D26" s="28" t="n"/>
      <c r="E26" s="28" t="n"/>
      <c r="F26" s="28" t="n"/>
      <c r="G26" s="28" t="n"/>
      <c r="H26" s="27" t="n"/>
      <c r="I26" s="27" t="n"/>
      <c r="J26" s="27" t="n"/>
      <c r="K26" s="28" t="n"/>
      <c r="L26" s="28" t="n"/>
    </row>
    <row r="27" ht="25.5" customHeight="1" s="45">
      <c r="A27" s="22" t="n"/>
      <c r="B27" s="23" t="n"/>
      <c r="C27" s="23" t="n"/>
      <c r="D27" s="23" t="n"/>
      <c r="E27" s="23" t="n"/>
      <c r="F27" s="23" t="n"/>
      <c r="G27" s="23" t="n"/>
      <c r="H27" s="22" t="n"/>
      <c r="I27" s="22" t="n"/>
      <c r="J27" s="22" t="n"/>
      <c r="K27" s="23" t="n"/>
      <c r="L27" s="23" t="n"/>
    </row>
    <row r="28" ht="25.5" customHeight="1" s="45">
      <c r="A28" s="27" t="n"/>
      <c r="B28" s="28" t="n"/>
      <c r="C28" s="28" t="n"/>
      <c r="D28" s="28" t="n"/>
      <c r="E28" s="28" t="n"/>
      <c r="F28" s="28" t="n"/>
      <c r="G28" s="28" t="n"/>
      <c r="H28" s="27" t="n"/>
      <c r="I28" s="27" t="n"/>
      <c r="J28" s="27" t="n"/>
      <c r="K28" s="28" t="n"/>
      <c r="L28" s="28" t="n"/>
    </row>
    <row r="29" ht="25.5" customHeight="1" s="45">
      <c r="A29" s="22" t="n"/>
      <c r="B29" s="23" t="n"/>
      <c r="C29" s="23" t="n"/>
      <c r="D29" s="23" t="n"/>
      <c r="E29" s="23" t="n"/>
      <c r="F29" s="23" t="n"/>
      <c r="G29" s="23" t="n"/>
      <c r="H29" s="22" t="n"/>
      <c r="I29" s="22" t="n"/>
      <c r="J29" s="22" t="n"/>
      <c r="K29" s="23" t="n"/>
      <c r="L29" s="23" t="n"/>
    </row>
    <row r="30" ht="25.5" customHeight="1" s="45">
      <c r="A30" s="27" t="n"/>
      <c r="B30" s="28" t="n"/>
      <c r="C30" s="28" t="n"/>
      <c r="D30" s="28" t="n"/>
      <c r="E30" s="28" t="n"/>
      <c r="F30" s="28" t="n"/>
      <c r="G30" s="28" t="n"/>
      <c r="H30" s="27" t="n"/>
      <c r="I30" s="27" t="n"/>
      <c r="J30" s="27" t="n"/>
      <c r="K30" s="28" t="n"/>
      <c r="L30" s="28" t="n"/>
    </row>
    <row r="31" ht="25.5" customHeight="1" s="45">
      <c r="A31" s="22" t="n"/>
      <c r="B31" s="23" t="n"/>
      <c r="C31" s="23" t="n"/>
      <c r="D31" s="23" t="n"/>
      <c r="E31" s="23" t="n"/>
      <c r="F31" s="23" t="n"/>
      <c r="G31" s="23" t="n"/>
      <c r="H31" s="22" t="n"/>
      <c r="I31" s="22" t="n"/>
      <c r="J31" s="22" t="n"/>
      <c r="K31" s="23" t="n"/>
      <c r="L31" s="23" t="n"/>
    </row>
    <row r="32" ht="25.5" customHeight="1" s="45">
      <c r="A32" s="27" t="n"/>
      <c r="B32" s="28" t="n"/>
      <c r="C32" s="28" t="n"/>
      <c r="D32" s="28" t="n"/>
      <c r="E32" s="28" t="n"/>
      <c r="F32" s="28" t="n"/>
      <c r="G32" s="28" t="n"/>
      <c r="H32" s="27" t="n"/>
      <c r="I32" s="27" t="n"/>
      <c r="J32" s="27" t="n"/>
      <c r="K32" s="28" t="n"/>
      <c r="L32" s="28" t="n"/>
    </row>
    <row r="33" ht="25.5" customHeight="1" s="45">
      <c r="A33" s="22" t="n"/>
      <c r="B33" s="23" t="n"/>
      <c r="C33" s="23" t="n"/>
      <c r="D33" s="23" t="n"/>
      <c r="E33" s="23" t="n"/>
      <c r="F33" s="23" t="n"/>
      <c r="G33" s="23" t="n"/>
      <c r="H33" s="22" t="n"/>
      <c r="I33" s="22" t="n"/>
      <c r="J33" s="22" t="n"/>
      <c r="K33" s="23" t="n"/>
      <c r="L33" s="23" t="n"/>
    </row>
    <row r="34" ht="25.5" customHeight="1" s="45">
      <c r="A34" s="27" t="n"/>
      <c r="B34" s="28" t="n"/>
      <c r="C34" s="28" t="n"/>
      <c r="D34" s="28" t="n"/>
      <c r="E34" s="28" t="n"/>
      <c r="F34" s="28" t="n"/>
      <c r="G34" s="28" t="n"/>
      <c r="H34" s="27" t="n"/>
      <c r="I34" s="27" t="n"/>
      <c r="J34" s="27" t="n"/>
      <c r="K34" s="28" t="n"/>
      <c r="L34" s="28" t="n"/>
    </row>
    <row r="35" ht="25.5" customHeight="1" s="45">
      <c r="A35" s="22" t="n"/>
      <c r="B35" s="23" t="n"/>
      <c r="C35" s="23" t="n"/>
      <c r="D35" s="23" t="n"/>
      <c r="E35" s="23" t="n"/>
      <c r="F35" s="23" t="n"/>
      <c r="G35" s="23" t="n"/>
      <c r="H35" s="22" t="n"/>
      <c r="I35" s="22" t="n"/>
      <c r="J35" s="22" t="n"/>
      <c r="K35" s="23" t="n"/>
      <c r="L35" s="23" t="n"/>
    </row>
    <row r="36" ht="25.5" customHeight="1" s="45">
      <c r="A36" s="27" t="n"/>
      <c r="B36" s="28" t="n"/>
      <c r="C36" s="28" t="n"/>
      <c r="D36" s="28" t="n"/>
      <c r="E36" s="28" t="n"/>
      <c r="F36" s="28" t="n"/>
      <c r="G36" s="28" t="n"/>
      <c r="H36" s="27" t="n"/>
      <c r="I36" s="27" t="n"/>
      <c r="J36" s="27" t="n"/>
      <c r="K36" s="28" t="n"/>
      <c r="L36" s="28" t="n"/>
    </row>
    <row r="37" ht="25.5" customHeight="1" s="45">
      <c r="A37" s="22" t="n"/>
      <c r="B37" s="23" t="n"/>
      <c r="C37" s="23" t="n"/>
      <c r="D37" s="23" t="n"/>
      <c r="E37" s="23" t="n"/>
      <c r="F37" s="23" t="n"/>
      <c r="G37" s="23" t="n"/>
      <c r="H37" s="22" t="n"/>
      <c r="I37" s="22" t="n"/>
      <c r="J37" s="22" t="n"/>
      <c r="K37" s="23" t="n"/>
      <c r="L37" s="23" t="n"/>
    </row>
    <row r="38" ht="25.5" customHeight="1" s="45">
      <c r="A38" s="27" t="n"/>
      <c r="B38" s="28" t="n"/>
      <c r="C38" s="28" t="n"/>
      <c r="D38" s="28" t="n"/>
      <c r="E38" s="28" t="n"/>
      <c r="F38" s="28" t="n"/>
      <c r="G38" s="28" t="n"/>
      <c r="H38" s="27" t="n"/>
      <c r="I38" s="27" t="n"/>
      <c r="J38" s="27" t="n"/>
      <c r="K38" s="28" t="n"/>
      <c r="L38" s="28" t="n"/>
    </row>
    <row r="39" ht="25.5" customHeight="1" s="45">
      <c r="A39" s="22" t="n"/>
      <c r="B39" s="23" t="n"/>
      <c r="C39" s="23" t="n"/>
      <c r="D39" s="23" t="n"/>
      <c r="E39" s="23" t="n"/>
      <c r="F39" s="23" t="n"/>
      <c r="G39" s="23" t="n"/>
      <c r="H39" s="22" t="n"/>
      <c r="I39" s="22" t="n"/>
      <c r="J39" s="22" t="n"/>
      <c r="K39" s="23" t="n"/>
      <c r="L39" s="23" t="n"/>
    </row>
    <row r="40" ht="25.5" customHeight="1" s="45">
      <c r="A40" s="27" t="n"/>
      <c r="B40" s="28" t="n"/>
      <c r="C40" s="28" t="n"/>
      <c r="D40" s="28" t="n"/>
      <c r="E40" s="28" t="n"/>
      <c r="F40" s="28" t="n"/>
      <c r="G40" s="28" t="n"/>
      <c r="H40" s="27" t="n"/>
      <c r="I40" s="27" t="n"/>
      <c r="J40" s="27" t="n"/>
      <c r="K40" s="28" t="n"/>
      <c r="L40" s="28" t="n"/>
    </row>
    <row r="41" ht="25.5" customHeight="1" s="45">
      <c r="A41" s="22" t="n"/>
      <c r="B41" s="23" t="n"/>
      <c r="C41" s="23" t="n"/>
      <c r="D41" s="23" t="n"/>
      <c r="E41" s="23" t="n"/>
      <c r="F41" s="23" t="n"/>
      <c r="G41" s="23" t="n"/>
      <c r="H41" s="22" t="n"/>
      <c r="I41" s="22" t="n"/>
      <c r="J41" s="22" t="n"/>
      <c r="K41" s="23" t="n"/>
      <c r="L41" s="23" t="n"/>
    </row>
    <row r="42" ht="25.5" customHeight="1" s="45">
      <c r="A42" s="27" t="n"/>
      <c r="B42" s="28" t="n"/>
      <c r="C42" s="28" t="n"/>
      <c r="D42" s="28" t="n"/>
      <c r="E42" s="28" t="n"/>
      <c r="F42" s="28" t="n"/>
      <c r="G42" s="28" t="n"/>
      <c r="H42" s="27" t="n"/>
      <c r="I42" s="27" t="n"/>
      <c r="J42" s="27" t="n"/>
      <c r="K42" s="28" t="n"/>
      <c r="L42" s="28" t="n"/>
    </row>
    <row r="43" ht="15.75" customHeight="1" s="45">
      <c r="I43" s="40" t="n"/>
      <c r="J43" s="40" t="n"/>
    </row>
    <row r="44" ht="15.75" customHeight="1" s="45">
      <c r="I44" s="40" t="n"/>
      <c r="J44" s="40" t="n"/>
    </row>
    <row r="45" ht="15.75" customHeight="1" s="45">
      <c r="I45" s="40" t="n"/>
      <c r="J45" s="40" t="n"/>
    </row>
    <row r="46" ht="15.75" customHeight="1" s="45">
      <c r="I46" s="40" t="n"/>
      <c r="J46" s="40" t="n"/>
    </row>
    <row r="47" ht="15.75" customHeight="1" s="45">
      <c r="I47" s="40" t="n"/>
      <c r="J47" s="40" t="n"/>
    </row>
    <row r="48" ht="15.75" customHeight="1" s="45">
      <c r="I48" s="40" t="n"/>
      <c r="J48" s="40" t="n"/>
    </row>
    <row r="49" ht="15.75" customHeight="1" s="45">
      <c r="I49" s="40" t="n"/>
      <c r="J49" s="40" t="n"/>
    </row>
    <row r="50" ht="15.75" customHeight="1" s="45">
      <c r="I50" s="40" t="n"/>
      <c r="J50" s="40" t="n"/>
    </row>
    <row r="51" ht="15.75" customHeight="1" s="45">
      <c r="I51" s="40" t="n"/>
      <c r="J51" s="40" t="n"/>
    </row>
    <row r="52" ht="15.75" customHeight="1" s="45">
      <c r="I52" s="40" t="n"/>
      <c r="J52" s="40" t="n"/>
    </row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9">
    <mergeCell ref="A4:B4"/>
    <mergeCell ref="F4:G4"/>
    <mergeCell ref="D5:E5"/>
    <mergeCell ref="A1:L2"/>
    <mergeCell ref="G5:H5"/>
    <mergeCell ref="C4:E4"/>
    <mergeCell ref="K5:L5"/>
    <mergeCell ref="A5:B5"/>
    <mergeCell ref="H4:L4"/>
  </mergeCells>
  <conditionalFormatting sqref="I8:I42">
    <cfRule type="cellIs" priority="1" operator="equal" dxfId="0">
      <formula>"Exitoso"</formula>
    </cfRule>
    <cfRule type="cellIs" priority="2" operator="equal" dxfId="1">
      <formula>"Falló"</formula>
    </cfRule>
    <cfRule type="cellIs" priority="3" operator="equal" dxfId="2">
      <formula>"Pendiente"</formula>
    </cfRule>
    <cfRule type="cellIs" priority="4" operator="equal" dxfId="2">
      <formula>"Bloqueado"</formula>
    </cfRule>
  </conditionalFormatting>
  <dataValidations count="2">
    <dataValidation sqref="J8:J52" showDropDown="0" showInputMessage="0" showErrorMessage="0" allowBlank="1" type="list">
      <formula1>"Alta,Media,Baja"</formula1>
    </dataValidation>
    <dataValidation sqref="I8:I52" showDropDown="0" showInputMessage="0" showErrorMessage="0" allowBlank="1" type="list">
      <formula1>"Exitoso,Falló,Bloqueado,Pendiente"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ColWidth="14.43" defaultRowHeight="15" customHeight="1"/>
  <cols>
    <col width="18" customWidth="1" style="45" min="1" max="6"/>
    <col width="8.710000000000001" customWidth="1" style="45" min="7" max="26"/>
  </cols>
  <sheetData>
    <row r="1" ht="21.75" customHeight="1" s="45">
      <c r="A1" s="46" t="inlineStr">
        <is>
          <t>GUÍA DIDÁCTICA: CÓMO DILIGENCIAR ESTA PLANTILLA DE PRUEBAS
Programa ADSO - Servicio Nacional de Aprendizaje (SENA)</t>
        </is>
      </c>
    </row>
    <row r="2" ht="21.75" customHeight="1" s="45"/>
    <row r="4" ht="21.75" customHeight="1" s="45">
      <c r="A4" s="64" t="inlineStr">
        <is>
          <t>1. LA PIRÁMIDE DE PRUEBAS DE SOFTWARE (NIVELES)</t>
        </is>
      </c>
    </row>
    <row r="5" ht="36" customHeight="1" s="45">
      <c r="A5" s="47" t="inlineStr">
        <is>
          <t>Nivel 1: Pruebas Unitarias (Base de la pirámide)</t>
        </is>
      </c>
      <c r="B5" s="48" t="n"/>
      <c r="C5" s="23" t="inlineStr">
        <is>
          <t>Son rápidas, automáticas y prueban funciones o clases aisladas (ej. sumarNotas o promedio). Se diseñan con Caja Blanca evaluando valores límite (0.0 y 5.0), particiones equivalentes y excepciones (división por cero). Herramientas: PyTest, Jest, PHPUnit.</t>
        </is>
      </c>
      <c r="D5" s="49" t="n"/>
      <c r="E5" s="49" t="n"/>
      <c r="F5" s="48" t="n"/>
    </row>
    <row r="6" ht="36" customHeight="1" s="45">
      <c r="A6" s="47" t="inlineStr">
        <is>
          <t>Nivel 2: Pruebas de Integración (Capa media)</t>
        </is>
      </c>
      <c r="B6" s="48" t="n"/>
      <c r="C6" s="23" t="inlineStr">
        <is>
          <t>Verifican que dos o más módulos hablen bien entre sí: API con Base de Datos, servicios de correo o autenticación JWT. Se evalúan códigos de estado HTTP (200, 201, 401, 500) y respuestas JSON. Herramientas: Postman, Supertest, Newman.</t>
        </is>
      </c>
      <c r="D6" s="49" t="n"/>
      <c r="E6" s="49" t="n"/>
      <c r="F6" s="48" t="n"/>
    </row>
    <row r="7" ht="36" customHeight="1" s="45">
      <c r="A7" s="47" t="inlineStr">
        <is>
          <t>Nivel 3: Pruebas End-to-End / E2E (Cúspide)</t>
        </is>
      </c>
      <c r="B7" s="48" t="n"/>
      <c r="C7" s="23" t="inlineStr">
        <is>
          <t>Simulan el comportamiento del usuario real en el navegador o app móvil, desde el login hasta la generación de reportes. Corresponden al formato SIGA de prueba funcional y técnica. Herramientas: Cypress, Playwright, Selenium.</t>
        </is>
      </c>
      <c r="D7" s="49" t="n"/>
      <c r="E7" s="49" t="n"/>
      <c r="F7" s="48" t="n"/>
    </row>
    <row r="9" ht="21.75" customHeight="1" s="45">
      <c r="A9" s="64" t="inlineStr">
        <is>
          <t>2. EL PATRÓN AAA (ARRANGE - ACT - ASSERT)</t>
        </is>
      </c>
    </row>
    <row r="10" ht="36" customHeight="1" s="45">
      <c r="A10" s="47" t="inlineStr">
        <is>
          <t>Arrange (Preparar)</t>
        </is>
      </c>
      <c r="B10" s="48" t="n"/>
      <c r="C10" s="23" t="inlineStr">
        <is>
          <t>Configurar el escenario, variables, usuarios o base de datos requeridos antes de ejecutar la acción (Columna D: 'Datos de Entrada').</t>
        </is>
      </c>
      <c r="D10" s="49" t="n"/>
      <c r="E10" s="49" t="n"/>
      <c r="F10" s="48" t="n"/>
    </row>
    <row r="11" ht="36" customHeight="1" s="45">
      <c r="A11" s="47" t="inlineStr">
        <is>
          <t>Act (Actuar)</t>
        </is>
      </c>
      <c r="B11" s="48" t="n"/>
      <c r="C11" s="23" t="inlineStr">
        <is>
          <t>Ejecutar la función, endpoint o acción del usuario en pantalla (Columna E: 'Pasos de Ejecución').</t>
        </is>
      </c>
      <c r="D11" s="49" t="n"/>
      <c r="E11" s="49" t="n"/>
      <c r="F11" s="48" t="n"/>
    </row>
    <row r="12" ht="36" customHeight="1" s="45">
      <c r="A12" s="47" t="inlineStr">
        <is>
          <t>Assert (Verificar / Afirmar)</t>
        </is>
      </c>
      <c r="B12" s="48" t="n"/>
      <c r="C12" s="23" t="inlineStr">
        <is>
          <t>Comparar el resultado obtenido contra el oráculo o valor esperado exacto (Columna F: 'Resultado Esperado'). Nunca usar desigualdades vagas cuando se conoce el resultado determinista.</t>
        </is>
      </c>
      <c r="D12" s="49" t="n"/>
      <c r="E12" s="49" t="n"/>
      <c r="F12" s="48" t="n"/>
    </row>
    <row r="14" ht="21.75" customHeight="1" s="45">
      <c r="A14" s="64" t="inlineStr">
        <is>
          <t>3. ESTÁNDARES PARA EVIDENCIAS (CRITERIO SIGA SENA)</t>
        </is>
      </c>
    </row>
    <row r="15" ht="36" customHeight="1" s="45">
      <c r="A15" s="47" t="inlineStr">
        <is>
          <t>Pruebas Unitarias e Integración</t>
        </is>
      </c>
      <c r="B15" s="48" t="n"/>
      <c r="C15" s="23" t="inlineStr">
        <is>
          <t>Adjuntar captura de terminal donde se vea el reporte del ejecutor (ej. '15 passed in 0.42s') o archivo exportado de reporte (HTML/JSON) con fecha y rama Git.</t>
        </is>
      </c>
      <c r="D15" s="49" t="n"/>
      <c r="E15" s="49" t="n"/>
      <c r="F15" s="48" t="n"/>
    </row>
    <row r="16" ht="36" customHeight="1" s="45">
      <c r="A16" s="47" t="inlineStr">
        <is>
          <t>Pruebas E2E / Funcionales</t>
        </is>
      </c>
      <c r="B16" s="48" t="n"/>
      <c r="C16" s="23" t="inlineStr">
        <is>
          <t>Según la plantilla SIGA institucional, las evidencias de pantalla deben mostrar la URL del navegador completa, fecha y hora visibles del sistema, sin recortes alterados.</t>
        </is>
      </c>
      <c r="D16" s="49" t="n"/>
      <c r="E16" s="49" t="n"/>
      <c r="F16" s="48" t="n"/>
    </row>
    <row r="21" ht="15.75" customHeight="1" s="45"/>
    <row r="22" ht="15.75" customHeight="1" s="45"/>
    <row r="23" ht="15.75" customHeight="1" s="45"/>
    <row r="24" ht="15.75" customHeight="1" s="45"/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0">
    <mergeCell ref="A15:B15"/>
    <mergeCell ref="A11:B11"/>
    <mergeCell ref="C7:F7"/>
    <mergeCell ref="A6:B6"/>
    <mergeCell ref="A16:B16"/>
    <mergeCell ref="A7:B7"/>
    <mergeCell ref="A14:F14"/>
    <mergeCell ref="A1:F2"/>
    <mergeCell ref="C6:F6"/>
    <mergeCell ref="C15:F15"/>
    <mergeCell ref="A4:F4"/>
    <mergeCell ref="C5:F5"/>
    <mergeCell ref="A12:B12"/>
    <mergeCell ref="A9:F9"/>
    <mergeCell ref="A5:B5"/>
    <mergeCell ref="C16:F16"/>
    <mergeCell ref="C10:F10"/>
    <mergeCell ref="C12:F12"/>
    <mergeCell ref="A10:B10"/>
    <mergeCell ref="C11:F1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Plan de pruebas PlomApp - 40 pruebas del equipo</dc:title>
  <dcterms:created xsi:type="dcterms:W3CDTF">2026-10-13T00:13:18Z</dcterms:created>
  <dcterms:modified xsi:type="dcterms:W3CDTF">2026-10-27T20:32:05Z</dcterms:modified>
</cp:coreProperties>
</file>